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e629fba838542e/Documents/NC State/ST558/Project2/ST558_Project2/data/"/>
    </mc:Choice>
  </mc:AlternateContent>
  <xr:revisionPtr revIDLastSave="14" documentId="8_{65FC69CF-B302-4E06-828C-E663B2A0D994}" xr6:coauthVersionLast="47" xr6:coauthVersionMax="47" xr10:uidLastSave="{58E5E1A2-AD23-4EB6-8173-2D729C34EDE1}"/>
  <bookViews>
    <workbookView xWindow="28680" yWindow="-120" windowWidth="38640" windowHeight="15720" xr2:uid="{2FB7A291-EE77-4E88-9E59-7A27FC7C1987}"/>
  </bookViews>
  <sheets>
    <sheet name="Sports" sheetId="6" r:id="rId1"/>
  </sheets>
  <definedNames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hidden="1">#REF!</definedName>
    <definedName name="__FDS_HYPERLINK_TOGGLE_STATE__" hidden="1">"ON"</definedName>
    <definedName name="_a2" localSheetId="0" hidden="1">{"Page1",#N/A,FALSE,"CompCo";"Page2",#N/A,FALSE,"CompCo"}</definedName>
    <definedName name="_a2" hidden="1">{"Page1",#N/A,FALSE,"CompCo";"Page2",#N/A,FALSE,"CompCo"}</definedName>
    <definedName name="_a3" localSheetId="0" hidden="1">{"Page1",#N/A,FALSE,"CompCo";"Page2",#N/A,FALSE,"CompCo"}</definedName>
    <definedName name="_a3" hidden="1">{"Page1",#N/A,FALSE,"CompCo";"Page2",#N/A,FALSE,"CompCo"}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8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59A40241D984E22B6E755BD37282CB3.edm" hidden="1">#REF!</definedName>
    <definedName name="_Fill" hidden="1">#REF!</definedName>
    <definedName name="_xlnm._FilterDatabase" localSheetId="0" hidden="1">Sports!$A$1:$B$316</definedName>
    <definedName name="_Order1" hidden="1">0</definedName>
    <definedName name="_Order2" hidden="1">0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Table2_Out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BLPH1" hidden="1">#REF!</definedName>
    <definedName name="CIQWBGuid" hidden="1">"DOW - ROC.xls"</definedName>
    <definedName name="contrib2" localSheetId="0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0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ev.Calculation" hidden="1">-4105</definedName>
    <definedName name="ev.Initialized" hidden="1">FALSE</definedName>
    <definedName name="Exh" localSheetId="0" hidden="1">{"Qtrly",#N/A,FALSE,"Qtrly"}</definedName>
    <definedName name="Exh" hidden="1">{"Qtrly",#N/A,FALSE,"Qtrly"}</definedName>
    <definedName name="FSoPacific" localSheetId="0" hidden="1">{"BS",#N/A,FALSE,"USA"}</definedName>
    <definedName name="FSoPacific" hidden="1">{"BS",#N/A,FALSE,"USA"}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IQ_ACCOUNT_CHANGE" hidden="1">"c1449"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"c5535"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"c5537"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"c5538"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"c5536"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"c5539"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"c5540"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"c5541"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TDDEV_EST" hidden="1">"c4452"</definedName>
    <definedName name="IQ_FFO_SHARE_STDDEV_EST_CIQ" hidden="1">"c4981"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40627.4262962962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ACT_OR_EST_THOM" hidden="1">"c5305"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39421.5384837963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K2_WBEVMODE" hidden="1">-1</definedName>
    <definedName name="lee" localSheetId="0" hidden="1">{"RelVal1",#N/A,FALSE,"Rel Value";"RelVal2",#N/A,FALSE,"Rel Value"}</definedName>
    <definedName name="lee" hidden="1">{"RelVal1",#N/A,FALSE,"Rel Value";"RelVal2",#N/A,FALSE,"Rel Value"}</definedName>
    <definedName name="Pal_Workbook_GUID" hidden="1">"JTNGB6G7FAIUY2UT616FX6U6"</definedName>
    <definedName name="pie" localSheetId="0" hidden="1">{"NewsWire",#N/A,FALSE,"News"}</definedName>
    <definedName name="pie" hidden="1">{"NewsWire",#N/A,FALSE,"News"}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s" localSheetId="0" hidden="1">{"NewsWire",#N/A,FALSE,"News"}</definedName>
    <definedName name="ss" hidden="1">{"NewsWire",#N/A,FALSE,"News"}</definedName>
    <definedName name="sss" localSheetId="0" hidden="1">{"RelVal1",#N/A,FALSE,"Rel Value";"RelVal2",#N/A,FALSE,"Rel Value"}</definedName>
    <definedName name="sss" hidden="1">{"RelVal1",#N/A,FALSE,"Rel Value";"RelVal2",#N/A,FALSE,"Rel Value"}</definedName>
    <definedName name="wrn.Alloutput." localSheetId="0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0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0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NewsWire." localSheetId="0" hidden="1">{"NewsWire",#N/A,FALSE,"News"}</definedName>
    <definedName name="wrn.NewsWire." hidden="1">{"NewsWire",#N/A,FALSE,"News"}</definedName>
    <definedName name="wrn.Print._.All._.Worksheets." localSheetId="0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trly." localSheetId="0" hidden="1">{"Qtrly",#N/A,FALSE,"Qtrly"}</definedName>
    <definedName name="wrn.qtrly." hidden="1">{"Qtrly",#N/A,FALSE,"Qtrly"}</definedName>
    <definedName name="wrn.quick." localSheetId="0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RelVal." localSheetId="0" hidden="1">{"RelVal1",#N/A,FALSE,"Rel Value";"RelVal2",#N/A,FALSE,"Rel Value"}</definedName>
    <definedName name="wrn.RelVal." hidden="1">{"RelVal1",#N/A,FALSE,"Rel Value";"RelVal2",#N/A,FALSE,"Rel Value"}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BEI.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ummary." localSheetId="0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0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0" hidden="1">{#N/A,#N/A,FALSE,"Combo"}</definedName>
    <definedName name="wrn.Weekly._.Inventory._.Report." hidden="1">{#N/A,#N/A,FALSE,"Combo"}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localSheetId="0" hidden="1">{"NewsWire",#N/A,FALSE,"News"}</definedName>
    <definedName name="x" hidden="1">{"NewsWire",#N/A,FALSE,"News"}</definedName>
    <definedName name="xx" localSheetId="0" hidden="1">{"Qtrly",#N/A,FALSE,"Qtrly"}</definedName>
    <definedName name="xx" hidden="1">{"Qtrly",#N/A,FALSE,"Qtrly"}</definedName>
    <definedName name="xxx" localSheetId="0" hidden="1">{"RelVal1",#N/A,FALSE,"Rel Value";"RelVal2",#N/A,FALSE,"Rel Value"}</definedName>
    <definedName name="xxx" hidden="1">{"RelVal1",#N/A,FALSE,"Rel Value";"RelVal2",#N/A,FALSE,"Rel Value"}</definedName>
    <definedName name="y" localSheetId="0" hidden="1">{"Qtrly",#N/A,FALSE,"Qtrly"}</definedName>
    <definedName name="y" hidden="1">{"Qtrly",#N/A,FALSE,"Qtrly"}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316" i="6" l="1"/>
  <c r="A316" i="6"/>
  <c r="DH314" i="6"/>
  <c r="CQ313" i="6"/>
  <c r="CO313" i="6"/>
  <c r="CM313" i="6"/>
  <c r="CL313" i="6"/>
  <c r="CK313" i="6"/>
  <c r="CJ313" i="6"/>
  <c r="CI313" i="6"/>
  <c r="BW313" i="6"/>
  <c r="BS313" i="6"/>
  <c r="BQ313" i="6"/>
  <c r="BO313" i="6"/>
  <c r="BN313" i="6"/>
  <c r="BM313" i="6"/>
  <c r="BL313" i="6"/>
  <c r="BK313" i="6"/>
  <c r="AY313" i="6"/>
  <c r="AU313" i="6"/>
  <c r="DF313" i="6"/>
  <c r="DB313" i="6"/>
  <c r="CP313" i="6"/>
  <c r="CN313" i="6"/>
  <c r="CH313" i="6"/>
  <c r="CD313" i="6"/>
  <c r="BR313" i="6"/>
  <c r="BP313" i="6"/>
  <c r="BJ313" i="6"/>
  <c r="BF313" i="6"/>
  <c r="DE313" i="6"/>
  <c r="DD313" i="6"/>
  <c r="DC313" i="6"/>
  <c r="DA313" i="6"/>
  <c r="CZ313" i="6"/>
  <c r="CY313" i="6"/>
  <c r="CX313" i="6"/>
  <c r="CW313" i="6"/>
  <c r="CV313" i="6"/>
  <c r="CU313" i="6"/>
  <c r="CT313" i="6"/>
  <c r="CS313" i="6"/>
  <c r="CR313" i="6"/>
  <c r="CG313" i="6"/>
  <c r="CF313" i="6"/>
  <c r="CE313" i="6"/>
  <c r="CC313" i="6"/>
  <c r="CB313" i="6"/>
  <c r="CA313" i="6"/>
  <c r="BZ313" i="6"/>
  <c r="BY313" i="6"/>
  <c r="BX313" i="6"/>
  <c r="BV313" i="6"/>
  <c r="BU313" i="6"/>
  <c r="BT313" i="6"/>
  <c r="BI313" i="6"/>
  <c r="BH313" i="6"/>
  <c r="BG313" i="6"/>
  <c r="BE313" i="6"/>
  <c r="BD313" i="6"/>
  <c r="BC313" i="6"/>
  <c r="BB313" i="6"/>
  <c r="BA313" i="6"/>
  <c r="AZ313" i="6"/>
  <c r="AX313" i="6"/>
  <c r="AW313" i="6"/>
  <c r="CT310" i="6"/>
  <c r="CR310" i="6"/>
  <c r="CQ310" i="6"/>
  <c r="CP310" i="6"/>
  <c r="CO310" i="6"/>
  <c r="CN310" i="6"/>
  <c r="CM310" i="6"/>
  <c r="CL310" i="6"/>
  <c r="CK310" i="6"/>
  <c r="BZ310" i="6"/>
  <c r="BV310" i="6"/>
  <c r="BT310" i="6"/>
  <c r="BR310" i="6"/>
  <c r="BQ310" i="6"/>
  <c r="BP310" i="6"/>
  <c r="BO310" i="6"/>
  <c r="BN310" i="6"/>
  <c r="BB310" i="6"/>
  <c r="AX310" i="6"/>
  <c r="AV310" i="6"/>
  <c r="DE310" i="6"/>
  <c r="CS310" i="6"/>
  <c r="CG310" i="6"/>
  <c r="BU310" i="6"/>
  <c r="BS310" i="6"/>
  <c r="BM310" i="6"/>
  <c r="BI310" i="6"/>
  <c r="AW310" i="6"/>
  <c r="DF310" i="6"/>
  <c r="DC310" i="6"/>
  <c r="DA310" i="6"/>
  <c r="CZ310" i="6"/>
  <c r="CY310" i="6"/>
  <c r="CX310" i="6"/>
  <c r="CW310" i="6"/>
  <c r="CV310" i="6"/>
  <c r="CU310" i="6"/>
  <c r="CJ310" i="6"/>
  <c r="CI310" i="6"/>
  <c r="CH310" i="6"/>
  <c r="CE310" i="6"/>
  <c r="CC310" i="6"/>
  <c r="CB310" i="6"/>
  <c r="CA310" i="6"/>
  <c r="BY310" i="6"/>
  <c r="BX310" i="6"/>
  <c r="BW310" i="6"/>
  <c r="BL310" i="6"/>
  <c r="BK310" i="6"/>
  <c r="BJ310" i="6"/>
  <c r="BG310" i="6"/>
  <c r="BE310" i="6"/>
  <c r="BD310" i="6"/>
  <c r="BC310" i="6"/>
  <c r="BA310" i="6"/>
  <c r="AZ310" i="6"/>
  <c r="AY310" i="6"/>
  <c r="DH307" i="6"/>
  <c r="A307" i="6"/>
  <c r="DF304" i="6"/>
  <c r="DD304" i="6"/>
  <c r="DC304" i="6"/>
  <c r="DB304" i="6"/>
  <c r="DA304" i="6"/>
  <c r="CZ304" i="6"/>
  <c r="CV304" i="6"/>
  <c r="CH304" i="6"/>
  <c r="CG304" i="6"/>
  <c r="CF304" i="6"/>
  <c r="CE304" i="6"/>
  <c r="CD304" i="6"/>
  <c r="CC304" i="6"/>
  <c r="CB304" i="6"/>
  <c r="BX304" i="6"/>
  <c r="BK304" i="6"/>
  <c r="BJ304" i="6"/>
  <c r="BI304" i="6"/>
  <c r="BH304" i="6"/>
  <c r="BG304" i="6"/>
  <c r="BF304" i="6"/>
  <c r="BE304" i="6"/>
  <c r="BD304" i="6"/>
  <c r="AZ304" i="6"/>
  <c r="AK304" i="6"/>
  <c r="AJ304" i="6"/>
  <c r="AI304" i="6"/>
  <c r="AH304" i="6"/>
  <c r="AG304" i="6"/>
  <c r="AF304" i="6"/>
  <c r="AB304" i="6"/>
  <c r="N304" i="6"/>
  <c r="M304" i="6"/>
  <c r="L304" i="6"/>
  <c r="K304" i="6"/>
  <c r="DE304" i="6"/>
  <c r="CK304" i="6"/>
  <c r="CJ304" i="6"/>
  <c r="CI304" i="6"/>
  <c r="BM304" i="6"/>
  <c r="BL304" i="6"/>
  <c r="AO304" i="6"/>
  <c r="AN304" i="6"/>
  <c r="AM304" i="6"/>
  <c r="AL304" i="6"/>
  <c r="Q304" i="6"/>
  <c r="P304" i="6"/>
  <c r="O304" i="6"/>
  <c r="CY304" i="6"/>
  <c r="CX304" i="6"/>
  <c r="CW304" i="6"/>
  <c r="CU304" i="6"/>
  <c r="CT304" i="6"/>
  <c r="CS304" i="6"/>
  <c r="CR304" i="6"/>
  <c r="CQ304" i="6"/>
  <c r="CP304" i="6"/>
  <c r="CO304" i="6"/>
  <c r="CN304" i="6"/>
  <c r="CM304" i="6"/>
  <c r="CA304" i="6"/>
  <c r="BZ304" i="6"/>
  <c r="BY304" i="6"/>
  <c r="BW304" i="6"/>
  <c r="BV304" i="6"/>
  <c r="BU304" i="6"/>
  <c r="BT304" i="6"/>
  <c r="BS304" i="6"/>
  <c r="BR304" i="6"/>
  <c r="BQ304" i="6"/>
  <c r="BP304" i="6"/>
  <c r="BO304" i="6"/>
  <c r="BC304" i="6"/>
  <c r="BB304" i="6"/>
  <c r="BA304" i="6"/>
  <c r="AY304" i="6"/>
  <c r="AX304" i="6"/>
  <c r="AW304" i="6"/>
  <c r="AV304" i="6"/>
  <c r="AU304" i="6"/>
  <c r="AT304" i="6"/>
  <c r="AS304" i="6"/>
  <c r="AR304" i="6"/>
  <c r="AQ304" i="6"/>
  <c r="AE304" i="6"/>
  <c r="AD304" i="6"/>
  <c r="AC304" i="6"/>
  <c r="AA304" i="6"/>
  <c r="Z304" i="6"/>
  <c r="Y304" i="6"/>
  <c r="X304" i="6"/>
  <c r="W304" i="6"/>
  <c r="V304" i="6"/>
  <c r="U304" i="6"/>
  <c r="T304" i="6"/>
  <c r="S304" i="6"/>
  <c r="CW301" i="6"/>
  <c r="CU301" i="6"/>
  <c r="CT301" i="6"/>
  <c r="CS301" i="6"/>
  <c r="CR301" i="6"/>
  <c r="CQ301" i="6"/>
  <c r="CM301" i="6"/>
  <c r="CF301" i="6"/>
  <c r="BZ301" i="6"/>
  <c r="BY301" i="6"/>
  <c r="BX301" i="6"/>
  <c r="BW301" i="6"/>
  <c r="BV301" i="6"/>
  <c r="BU301" i="6"/>
  <c r="BT301" i="6"/>
  <c r="BS301" i="6"/>
  <c r="BO301" i="6"/>
  <c r="BB301" i="6"/>
  <c r="AY301" i="6"/>
  <c r="AX301" i="6"/>
  <c r="AW301" i="6"/>
  <c r="AV301" i="6"/>
  <c r="AU301" i="6"/>
  <c r="AQ301" i="6"/>
  <c r="AJ301" i="6"/>
  <c r="AC301" i="6"/>
  <c r="AB301" i="6"/>
  <c r="AA301" i="6"/>
  <c r="Z301" i="6"/>
  <c r="Y301" i="6"/>
  <c r="X301" i="6"/>
  <c r="W301" i="6"/>
  <c r="S301" i="6"/>
  <c r="L301" i="6"/>
  <c r="CZ301" i="6"/>
  <c r="CY301" i="6"/>
  <c r="CX301" i="6"/>
  <c r="CV301" i="6"/>
  <c r="CB301" i="6"/>
  <c r="CA301" i="6"/>
  <c r="BD301" i="6"/>
  <c r="BC301" i="6"/>
  <c r="BA301" i="6"/>
  <c r="AZ301" i="6"/>
  <c r="AF301" i="6"/>
  <c r="AE301" i="6"/>
  <c r="AD301" i="6"/>
  <c r="DF301" i="6"/>
  <c r="DE301" i="6"/>
  <c r="DD301" i="6"/>
  <c r="DC301" i="6"/>
  <c r="DB301" i="6"/>
  <c r="DA301" i="6"/>
  <c r="CP301" i="6"/>
  <c r="CO301" i="6"/>
  <c r="CN301" i="6"/>
  <c r="CL301" i="6"/>
  <c r="CJ301" i="6"/>
  <c r="CI301" i="6"/>
  <c r="CH301" i="6"/>
  <c r="CG301" i="6"/>
  <c r="CE301" i="6"/>
  <c r="CD301" i="6"/>
  <c r="CC301" i="6"/>
  <c r="BR301" i="6"/>
  <c r="BQ301" i="6"/>
  <c r="BP301" i="6"/>
  <c r="BN301" i="6"/>
  <c r="BL301" i="6"/>
  <c r="BK301" i="6"/>
  <c r="BJ301" i="6"/>
  <c r="BI301" i="6"/>
  <c r="BH301" i="6"/>
  <c r="BG301" i="6"/>
  <c r="BF301" i="6"/>
  <c r="BE301" i="6"/>
  <c r="AT301" i="6"/>
  <c r="AS301" i="6"/>
  <c r="AR301" i="6"/>
  <c r="AP301" i="6"/>
  <c r="AN301" i="6"/>
  <c r="AM301" i="6"/>
  <c r="AL301" i="6"/>
  <c r="AK301" i="6"/>
  <c r="AI301" i="6"/>
  <c r="AH301" i="6"/>
  <c r="AG301" i="6"/>
  <c r="V301" i="6"/>
  <c r="U301" i="6"/>
  <c r="T301" i="6"/>
  <c r="R301" i="6"/>
  <c r="P301" i="6"/>
  <c r="O301" i="6"/>
  <c r="N301" i="6"/>
  <c r="M301" i="6"/>
  <c r="K301" i="6"/>
  <c r="DH298" i="6"/>
  <c r="A298" i="6"/>
  <c r="DH297" i="6"/>
  <c r="CY295" i="6"/>
  <c r="CV295" i="6"/>
  <c r="CS295" i="6"/>
  <c r="CQ295" i="6"/>
  <c r="CP295" i="6"/>
  <c r="CO295" i="6"/>
  <c r="CM295" i="6"/>
  <c r="CL295" i="6"/>
  <c r="CK295" i="6"/>
  <c r="CA295" i="6"/>
  <c r="BX295" i="6"/>
  <c r="DF295" i="6"/>
  <c r="CZ295" i="6"/>
  <c r="CX295" i="6"/>
  <c r="CN295" i="6"/>
  <c r="CH295" i="6"/>
  <c r="CB295" i="6"/>
  <c r="BZ295" i="6"/>
  <c r="DE295" i="6"/>
  <c r="DC295" i="6"/>
  <c r="DB295" i="6"/>
  <c r="DA295" i="6"/>
  <c r="CW295" i="6"/>
  <c r="CU295" i="6"/>
  <c r="CT295" i="6"/>
  <c r="CR295" i="6"/>
  <c r="CJ295" i="6"/>
  <c r="CI295" i="6"/>
  <c r="CG295" i="6"/>
  <c r="CE295" i="6"/>
  <c r="CD295" i="6"/>
  <c r="CC295" i="6"/>
  <c r="BY295" i="6"/>
  <c r="DE292" i="6"/>
  <c r="DB292" i="6"/>
  <c r="DA292" i="6"/>
  <c r="CZ292" i="6"/>
  <c r="CP292" i="6"/>
  <c r="CM292" i="6"/>
  <c r="CJ292" i="6"/>
  <c r="CI292" i="6"/>
  <c r="CH292" i="6"/>
  <c r="CD292" i="6"/>
  <c r="CC292" i="6"/>
  <c r="CB292" i="6"/>
  <c r="DC292" i="6"/>
  <c r="CW292" i="6"/>
  <c r="CQ292" i="6"/>
  <c r="CO292" i="6"/>
  <c r="CE292" i="6"/>
  <c r="BY292" i="6"/>
  <c r="DF292" i="6"/>
  <c r="DD292" i="6"/>
  <c r="CY292" i="6"/>
  <c r="CX292" i="6"/>
  <c r="CV292" i="6"/>
  <c r="CU292" i="6"/>
  <c r="CT292" i="6"/>
  <c r="CS292" i="6"/>
  <c r="CR292" i="6"/>
  <c r="CN292" i="6"/>
  <c r="CL292" i="6"/>
  <c r="CK292" i="6"/>
  <c r="CG292" i="6"/>
  <c r="CF292" i="6"/>
  <c r="DH290" i="6"/>
  <c r="CA292" i="6"/>
  <c r="BZ292" i="6"/>
  <c r="BX292" i="6"/>
  <c r="BW292" i="6"/>
  <c r="A289" i="6"/>
  <c r="DH288" i="6"/>
  <c r="DC286" i="6"/>
  <c r="DB286" i="6"/>
  <c r="CY286" i="6"/>
  <c r="CV286" i="6"/>
  <c r="CU286" i="6"/>
  <c r="CR286" i="6"/>
  <c r="CK286" i="6"/>
  <c r="CE286" i="6"/>
  <c r="CD286" i="6"/>
  <c r="CB286" i="6"/>
  <c r="BX286" i="6"/>
  <c r="BW286" i="6"/>
  <c r="BT286" i="6"/>
  <c r="BM286" i="6"/>
  <c r="BG286" i="6"/>
  <c r="BF286" i="6"/>
  <c r="BD286" i="6"/>
  <c r="AZ286" i="6"/>
  <c r="AY286" i="6"/>
  <c r="AV286" i="6"/>
  <c r="AO286" i="6"/>
  <c r="DF286" i="6"/>
  <c r="CW286" i="6"/>
  <c r="CL286" i="6"/>
  <c r="CJ286" i="6"/>
  <c r="CH286" i="6"/>
  <c r="BY286" i="6"/>
  <c r="BN286" i="6"/>
  <c r="BL286" i="6"/>
  <c r="BJ286" i="6"/>
  <c r="BA286" i="6"/>
  <c r="AP286" i="6"/>
  <c r="AN286" i="6"/>
  <c r="DE286" i="6"/>
  <c r="DD286" i="6"/>
  <c r="DA286" i="6"/>
  <c r="CZ286" i="6"/>
  <c r="CX286" i="6"/>
  <c r="CT286" i="6"/>
  <c r="CS286" i="6"/>
  <c r="CQ286" i="6"/>
  <c r="CP286" i="6"/>
  <c r="CO286" i="6"/>
  <c r="CN286" i="6"/>
  <c r="CM286" i="6"/>
  <c r="CI286" i="6"/>
  <c r="CG286" i="6"/>
  <c r="CF286" i="6"/>
  <c r="CC286" i="6"/>
  <c r="CA286" i="6"/>
  <c r="BZ286" i="6"/>
  <c r="BV286" i="6"/>
  <c r="BU286" i="6"/>
  <c r="BS286" i="6"/>
  <c r="BR286" i="6"/>
  <c r="BQ286" i="6"/>
  <c r="BP286" i="6"/>
  <c r="BO286" i="6"/>
  <c r="BK286" i="6"/>
  <c r="BI286" i="6"/>
  <c r="BH286" i="6"/>
  <c r="BE286" i="6"/>
  <c r="BC286" i="6"/>
  <c r="BB286" i="6"/>
  <c r="AX286" i="6"/>
  <c r="AW286" i="6"/>
  <c r="AU286" i="6"/>
  <c r="AT286" i="6"/>
  <c r="AS286" i="6"/>
  <c r="AR286" i="6"/>
  <c r="AQ286" i="6"/>
  <c r="AM286" i="6"/>
  <c r="DA283" i="6"/>
  <c r="CY283" i="6"/>
  <c r="CX283" i="6"/>
  <c r="CU283" i="6"/>
  <c r="CN283" i="6"/>
  <c r="CH283" i="6"/>
  <c r="CG283" i="6"/>
  <c r="CF283" i="6"/>
  <c r="CE283" i="6"/>
  <c r="CA283" i="6"/>
  <c r="BZ283" i="6"/>
  <c r="BW283" i="6"/>
  <c r="BP283" i="6"/>
  <c r="BC283" i="6"/>
  <c r="BB283" i="6"/>
  <c r="AY283" i="6"/>
  <c r="AR283" i="6"/>
  <c r="CZ283" i="6"/>
  <c r="CO283" i="6"/>
  <c r="CM283" i="6"/>
  <c r="CK283" i="6"/>
  <c r="CD283" i="6"/>
  <c r="CB283" i="6"/>
  <c r="BQ283" i="6"/>
  <c r="BO283" i="6"/>
  <c r="BM283" i="6"/>
  <c r="BD283" i="6"/>
  <c r="AS283" i="6"/>
  <c r="AQ283" i="6"/>
  <c r="AO283" i="6"/>
  <c r="DF283" i="6"/>
  <c r="DE283" i="6"/>
  <c r="DD283" i="6"/>
  <c r="DC283" i="6"/>
  <c r="CW283" i="6"/>
  <c r="CV283" i="6"/>
  <c r="CT283" i="6"/>
  <c r="CS283" i="6"/>
  <c r="CR283" i="6"/>
  <c r="CQ283" i="6"/>
  <c r="CP283" i="6"/>
  <c r="CL283" i="6"/>
  <c r="CJ283" i="6"/>
  <c r="CI283" i="6"/>
  <c r="CC283" i="6"/>
  <c r="BY283" i="6"/>
  <c r="BX283" i="6"/>
  <c r="BV283" i="6"/>
  <c r="BU283" i="6"/>
  <c r="BT283" i="6"/>
  <c r="BS283" i="6"/>
  <c r="BR283" i="6"/>
  <c r="BN283" i="6"/>
  <c r="BL283" i="6"/>
  <c r="BK283" i="6"/>
  <c r="BJ283" i="6"/>
  <c r="BI283" i="6"/>
  <c r="BG283" i="6"/>
  <c r="BF283" i="6"/>
  <c r="BE283" i="6"/>
  <c r="BA283" i="6"/>
  <c r="AZ283" i="6"/>
  <c r="AX283" i="6"/>
  <c r="AW283" i="6"/>
  <c r="AV283" i="6"/>
  <c r="AU283" i="6"/>
  <c r="AT283" i="6"/>
  <c r="AP283" i="6"/>
  <c r="AN283" i="6"/>
  <c r="AM283" i="6"/>
  <c r="DH280" i="6"/>
  <c r="A280" i="6"/>
  <c r="DE277" i="6"/>
  <c r="DC277" i="6"/>
  <c r="DB277" i="6"/>
  <c r="DA277" i="6"/>
  <c r="CY277" i="6"/>
  <c r="CW277" i="6"/>
  <c r="CV277" i="6"/>
  <c r="CU277" i="6"/>
  <c r="CT277" i="6"/>
  <c r="CS277" i="6"/>
  <c r="CR277" i="6"/>
  <c r="CP277" i="6"/>
  <c r="CG277" i="6"/>
  <c r="CE277" i="6"/>
  <c r="CD277" i="6"/>
  <c r="CC277" i="6"/>
  <c r="CA277" i="6"/>
  <c r="BY277" i="6"/>
  <c r="BX277" i="6"/>
  <c r="BW277" i="6"/>
  <c r="BV277" i="6"/>
  <c r="BU277" i="6"/>
  <c r="BT277" i="6"/>
  <c r="BI277" i="6"/>
  <c r="BG277" i="6"/>
  <c r="BF277" i="6"/>
  <c r="BE277" i="6"/>
  <c r="BD277" i="6"/>
  <c r="BC277" i="6"/>
  <c r="BA277" i="6"/>
  <c r="AZ277" i="6"/>
  <c r="AY277" i="6"/>
  <c r="AX277" i="6"/>
  <c r="AW277" i="6"/>
  <c r="AV277" i="6"/>
  <c r="DH276" i="6"/>
  <c r="DF277" i="6"/>
  <c r="DD277" i="6"/>
  <c r="CZ277" i="6"/>
  <c r="CX277" i="6"/>
  <c r="CQ277" i="6"/>
  <c r="CO277" i="6"/>
  <c r="CN277" i="6"/>
  <c r="CM277" i="6"/>
  <c r="CL277" i="6"/>
  <c r="CK277" i="6"/>
  <c r="CJ277" i="6"/>
  <c r="CI277" i="6"/>
  <c r="CH277" i="6"/>
  <c r="CF277" i="6"/>
  <c r="CB277" i="6"/>
  <c r="BZ277" i="6"/>
  <c r="BS277" i="6"/>
  <c r="BR277" i="6"/>
  <c r="BQ277" i="6"/>
  <c r="BP277" i="6"/>
  <c r="BO277" i="6"/>
  <c r="BN277" i="6"/>
  <c r="BM277" i="6"/>
  <c r="BL277" i="6"/>
  <c r="BK277" i="6"/>
  <c r="BJ277" i="6"/>
  <c r="BH277" i="6"/>
  <c r="BB277" i="6"/>
  <c r="DF274" i="6"/>
  <c r="DE274" i="6"/>
  <c r="DD274" i="6"/>
  <c r="DC274" i="6"/>
  <c r="DB274" i="6"/>
  <c r="DA274" i="6"/>
  <c r="CR274" i="6"/>
  <c r="CP274" i="6"/>
  <c r="CO274" i="6"/>
  <c r="CN274" i="6"/>
  <c r="CL274" i="6"/>
  <c r="CI274" i="6"/>
  <c r="CH274" i="6"/>
  <c r="CG274" i="6"/>
  <c r="CF274" i="6"/>
  <c r="CE274" i="6"/>
  <c r="CC274" i="6"/>
  <c r="BT274" i="6"/>
  <c r="BR274" i="6"/>
  <c r="BQ274" i="6"/>
  <c r="BP274" i="6"/>
  <c r="BN274" i="6"/>
  <c r="BK274" i="6"/>
  <c r="BJ274" i="6"/>
  <c r="BI274" i="6"/>
  <c r="BH274" i="6"/>
  <c r="BG274" i="6"/>
  <c r="BF274" i="6"/>
  <c r="BE274" i="6"/>
  <c r="AV274" i="6"/>
  <c r="DH273" i="6"/>
  <c r="CZ274" i="6"/>
  <c r="CY274" i="6"/>
  <c r="CX274" i="6"/>
  <c r="CW274" i="6"/>
  <c r="CV274" i="6"/>
  <c r="CU274" i="6"/>
  <c r="CT274" i="6"/>
  <c r="CS274" i="6"/>
  <c r="CQ274" i="6"/>
  <c r="CM274" i="6"/>
  <c r="CK274" i="6"/>
  <c r="CJ274" i="6"/>
  <c r="CD274" i="6"/>
  <c r="CB274" i="6"/>
  <c r="CA274" i="6"/>
  <c r="BZ274" i="6"/>
  <c r="BY274" i="6"/>
  <c r="BX274" i="6"/>
  <c r="BW274" i="6"/>
  <c r="BV274" i="6"/>
  <c r="BU274" i="6"/>
  <c r="BS274" i="6"/>
  <c r="BO274" i="6"/>
  <c r="BM274" i="6"/>
  <c r="BL274" i="6"/>
  <c r="BD274" i="6"/>
  <c r="BC274" i="6"/>
  <c r="BB274" i="6"/>
  <c r="BA274" i="6"/>
  <c r="AZ274" i="6"/>
  <c r="AY274" i="6"/>
  <c r="AX274" i="6"/>
  <c r="AW274" i="6"/>
  <c r="AU274" i="6"/>
  <c r="DH271" i="6"/>
  <c r="A271" i="6"/>
  <c r="DC268" i="6"/>
  <c r="DB268" i="6"/>
  <c r="CY268" i="6"/>
  <c r="CX268" i="6"/>
  <c r="CW268" i="6"/>
  <c r="CV268" i="6"/>
  <c r="CR268" i="6"/>
  <c r="CL268" i="6"/>
  <c r="CK268" i="6"/>
  <c r="CE268" i="6"/>
  <c r="CD268" i="6"/>
  <c r="CB268" i="6"/>
  <c r="BZ268" i="6"/>
  <c r="BY268" i="6"/>
  <c r="BX268" i="6"/>
  <c r="BT268" i="6"/>
  <c r="BN268" i="6"/>
  <c r="BM268" i="6"/>
  <c r="BG268" i="6"/>
  <c r="BF268" i="6"/>
  <c r="BD268" i="6"/>
  <c r="BB268" i="6"/>
  <c r="BA268" i="6"/>
  <c r="AZ268" i="6"/>
  <c r="AV268" i="6"/>
  <c r="AP268" i="6"/>
  <c r="AO268" i="6"/>
  <c r="DA268" i="6"/>
  <c r="CZ268" i="6"/>
  <c r="CU268" i="6"/>
  <c r="CC268" i="6"/>
  <c r="CA268" i="6"/>
  <c r="BW268" i="6"/>
  <c r="BE268" i="6"/>
  <c r="BC268" i="6"/>
  <c r="AY268" i="6"/>
  <c r="DF268" i="6"/>
  <c r="DD268" i="6"/>
  <c r="CT268" i="6"/>
  <c r="CS268" i="6"/>
  <c r="CQ268" i="6"/>
  <c r="CP268" i="6"/>
  <c r="CO268" i="6"/>
  <c r="CN268" i="6"/>
  <c r="CM268" i="6"/>
  <c r="CJ268" i="6"/>
  <c r="CI268" i="6"/>
  <c r="CH268" i="6"/>
  <c r="CF268" i="6"/>
  <c r="BV268" i="6"/>
  <c r="BU268" i="6"/>
  <c r="BS268" i="6"/>
  <c r="BR268" i="6"/>
  <c r="BQ268" i="6"/>
  <c r="BP268" i="6"/>
  <c r="BO268" i="6"/>
  <c r="BL268" i="6"/>
  <c r="BK268" i="6"/>
  <c r="BJ268" i="6"/>
  <c r="BH268" i="6"/>
  <c r="AX268" i="6"/>
  <c r="AW268" i="6"/>
  <c r="AU268" i="6"/>
  <c r="AT268" i="6"/>
  <c r="AS268" i="6"/>
  <c r="AR268" i="6"/>
  <c r="AQ268" i="6"/>
  <c r="AN268" i="6"/>
  <c r="AM268" i="6"/>
  <c r="AL268" i="6"/>
  <c r="DF265" i="6"/>
  <c r="DE265" i="6"/>
  <c r="DA265" i="6"/>
  <c r="CU265" i="6"/>
  <c r="CT265" i="6"/>
  <c r="CL265" i="6"/>
  <c r="CK265" i="6"/>
  <c r="CJ265" i="6"/>
  <c r="CI265" i="6"/>
  <c r="CH265" i="6"/>
  <c r="CG265" i="6"/>
  <c r="CC265" i="6"/>
  <c r="BW265" i="6"/>
  <c r="BV265" i="6"/>
  <c r="BL265" i="6"/>
  <c r="BK265" i="6"/>
  <c r="BJ265" i="6"/>
  <c r="BI265" i="6"/>
  <c r="BE265" i="6"/>
  <c r="AY265" i="6"/>
  <c r="AX265" i="6"/>
  <c r="AQ265" i="6"/>
  <c r="AO265" i="6"/>
  <c r="AN265" i="6"/>
  <c r="AM265" i="6"/>
  <c r="AL265" i="6"/>
  <c r="AK265" i="6"/>
  <c r="DD265" i="6"/>
  <c r="DC265" i="6"/>
  <c r="CF265" i="6"/>
  <c r="CE265" i="6"/>
  <c r="BN265" i="6"/>
  <c r="BM265" i="6"/>
  <c r="BH265" i="6"/>
  <c r="BG265" i="6"/>
  <c r="AP265" i="6"/>
  <c r="DB265" i="6"/>
  <c r="CZ265" i="6"/>
  <c r="CY265" i="6"/>
  <c r="CX265" i="6"/>
  <c r="CV265" i="6"/>
  <c r="CS265" i="6"/>
  <c r="CR265" i="6"/>
  <c r="CQ265" i="6"/>
  <c r="CP265" i="6"/>
  <c r="CN265" i="6"/>
  <c r="CM265" i="6"/>
  <c r="CD265" i="6"/>
  <c r="CB265" i="6"/>
  <c r="CA265" i="6"/>
  <c r="BZ265" i="6"/>
  <c r="BX265" i="6"/>
  <c r="BU265" i="6"/>
  <c r="BT265" i="6"/>
  <c r="BS265" i="6"/>
  <c r="BR265" i="6"/>
  <c r="BP265" i="6"/>
  <c r="BF265" i="6"/>
  <c r="BD265" i="6"/>
  <c r="BC265" i="6"/>
  <c r="BB265" i="6"/>
  <c r="AZ265" i="6"/>
  <c r="AW265" i="6"/>
  <c r="AV265" i="6"/>
  <c r="AU265" i="6"/>
  <c r="AT265" i="6"/>
  <c r="AR265" i="6"/>
  <c r="DH262" i="6"/>
  <c r="A262" i="6"/>
  <c r="DE259" i="6"/>
  <c r="DD259" i="6"/>
  <c r="DC259" i="6"/>
  <c r="CZ259" i="6"/>
  <c r="CY259" i="6"/>
  <c r="CX259" i="6"/>
  <c r="CN259" i="6"/>
  <c r="CM259" i="6"/>
  <c r="CG259" i="6"/>
  <c r="CF259" i="6"/>
  <c r="CE259" i="6"/>
  <c r="CD259" i="6"/>
  <c r="CB259" i="6"/>
  <c r="CA259" i="6"/>
  <c r="BP259" i="6"/>
  <c r="BO259" i="6"/>
  <c r="BI259" i="6"/>
  <c r="BG259" i="6"/>
  <c r="BF259" i="6"/>
  <c r="BD259" i="6"/>
  <c r="BC259" i="6"/>
  <c r="BB259" i="6"/>
  <c r="AR259" i="6"/>
  <c r="AQ259" i="6"/>
  <c r="AK259" i="6"/>
  <c r="AJ259" i="6"/>
  <c r="AI259" i="6"/>
  <c r="AH259" i="6"/>
  <c r="AF259" i="6"/>
  <c r="AE259" i="6"/>
  <c r="AD259" i="6"/>
  <c r="T259" i="6"/>
  <c r="S259" i="6"/>
  <c r="M259" i="6"/>
  <c r="DB259" i="6"/>
  <c r="BH259" i="6"/>
  <c r="DF259" i="6"/>
  <c r="DA259" i="6"/>
  <c r="CW259" i="6"/>
  <c r="CV259" i="6"/>
  <c r="CU259" i="6"/>
  <c r="CT259" i="6"/>
  <c r="CS259" i="6"/>
  <c r="CR259" i="6"/>
  <c r="CQ259" i="6"/>
  <c r="CO259" i="6"/>
  <c r="CL259" i="6"/>
  <c r="CK259" i="6"/>
  <c r="CJ259" i="6"/>
  <c r="CI259" i="6"/>
  <c r="CH259" i="6"/>
  <c r="CC259" i="6"/>
  <c r="BZ259" i="6"/>
  <c r="BY259" i="6"/>
  <c r="BX259" i="6"/>
  <c r="BW259" i="6"/>
  <c r="BV259" i="6"/>
  <c r="BU259" i="6"/>
  <c r="BT259" i="6"/>
  <c r="BS259" i="6"/>
  <c r="BQ259" i="6"/>
  <c r="BN259" i="6"/>
  <c r="BM259" i="6"/>
  <c r="BL259" i="6"/>
  <c r="BK259" i="6"/>
  <c r="BJ259" i="6"/>
  <c r="BE259" i="6"/>
  <c r="BA259" i="6"/>
  <c r="AZ259" i="6"/>
  <c r="AY259" i="6"/>
  <c r="AX259" i="6"/>
  <c r="AW259" i="6"/>
  <c r="AV259" i="6"/>
  <c r="AU259" i="6"/>
  <c r="AS259" i="6"/>
  <c r="AP259" i="6"/>
  <c r="AO259" i="6"/>
  <c r="AN259" i="6"/>
  <c r="AM259" i="6"/>
  <c r="AL259" i="6"/>
  <c r="AG259" i="6"/>
  <c r="AC259" i="6"/>
  <c r="AB259" i="6"/>
  <c r="AA259" i="6"/>
  <c r="Z259" i="6"/>
  <c r="Y259" i="6"/>
  <c r="X259" i="6"/>
  <c r="W259" i="6"/>
  <c r="V259" i="6"/>
  <c r="U259" i="6"/>
  <c r="R259" i="6"/>
  <c r="Q259" i="6"/>
  <c r="P259" i="6"/>
  <c r="O259" i="6"/>
  <c r="N259" i="6"/>
  <c r="DA256" i="6"/>
  <c r="CM256" i="6"/>
  <c r="CL256" i="6"/>
  <c r="CC256" i="6"/>
  <c r="BZ256" i="6"/>
  <c r="BO256" i="6"/>
  <c r="BN256" i="6"/>
  <c r="AQ256" i="6"/>
  <c r="AP256" i="6"/>
  <c r="S256" i="6"/>
  <c r="R256" i="6"/>
  <c r="DD256" i="6"/>
  <c r="DC256" i="6"/>
  <c r="DB256" i="6"/>
  <c r="CF256" i="6"/>
  <c r="CE256" i="6"/>
  <c r="CD256" i="6"/>
  <c r="BH256" i="6"/>
  <c r="BG256" i="6"/>
  <c r="BF256" i="6"/>
  <c r="BE256" i="6"/>
  <c r="BD256" i="6"/>
  <c r="AJ256" i="6"/>
  <c r="AI256" i="6"/>
  <c r="AH256" i="6"/>
  <c r="AG256" i="6"/>
  <c r="CY256" i="6"/>
  <c r="CX256" i="6"/>
  <c r="CW256" i="6"/>
  <c r="CV256" i="6"/>
  <c r="CU256" i="6"/>
  <c r="CT256" i="6"/>
  <c r="CS256" i="6"/>
  <c r="CR256" i="6"/>
  <c r="CQ256" i="6"/>
  <c r="CP256" i="6"/>
  <c r="CN256" i="6"/>
  <c r="CK256" i="6"/>
  <c r="CJ256" i="6"/>
  <c r="CA256" i="6"/>
  <c r="BY256" i="6"/>
  <c r="BX256" i="6"/>
  <c r="BW256" i="6"/>
  <c r="BV256" i="6"/>
  <c r="BU256" i="6"/>
  <c r="BT256" i="6"/>
  <c r="BS256" i="6"/>
  <c r="BR256" i="6"/>
  <c r="BP256" i="6"/>
  <c r="BM256" i="6"/>
  <c r="BL256" i="6"/>
  <c r="BC256" i="6"/>
  <c r="BB256" i="6"/>
  <c r="BA256" i="6"/>
  <c r="AZ256" i="6"/>
  <c r="AY256" i="6"/>
  <c r="AX256" i="6"/>
  <c r="AW256" i="6"/>
  <c r="AV256" i="6"/>
  <c r="AU256" i="6"/>
  <c r="AT256" i="6"/>
  <c r="AR256" i="6"/>
  <c r="AO256" i="6"/>
  <c r="AN256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Q256" i="6"/>
  <c r="P256" i="6"/>
  <c r="O256" i="6"/>
  <c r="M256" i="6"/>
  <c r="A253" i="6"/>
  <c r="DF250" i="6"/>
  <c r="CN250" i="6"/>
  <c r="CK250" i="6"/>
  <c r="CI250" i="6"/>
  <c r="BP250" i="6"/>
  <c r="BO250" i="6"/>
  <c r="BM250" i="6"/>
  <c r="BL250" i="6"/>
  <c r="BK250" i="6"/>
  <c r="BJ250" i="6"/>
  <c r="AR250" i="6"/>
  <c r="AQ250" i="6"/>
  <c r="AO250" i="6"/>
  <c r="AN250" i="6"/>
  <c r="AM250" i="6"/>
  <c r="AL250" i="6"/>
  <c r="T250" i="6"/>
  <c r="Q250" i="6"/>
  <c r="O250" i="6"/>
  <c r="N250" i="6"/>
  <c r="CO250" i="6"/>
  <c r="AS250" i="6"/>
  <c r="DE250" i="6"/>
  <c r="DD250" i="6"/>
  <c r="DC250" i="6"/>
  <c r="DB250" i="6"/>
  <c r="DA250" i="6"/>
  <c r="CZ250" i="6"/>
  <c r="CY250" i="6"/>
  <c r="CW250" i="6"/>
  <c r="CV250" i="6"/>
  <c r="CU250" i="6"/>
  <c r="CT250" i="6"/>
  <c r="CS250" i="6"/>
  <c r="CR250" i="6"/>
  <c r="CQ250" i="6"/>
  <c r="CP250" i="6"/>
  <c r="CM250" i="6"/>
  <c r="CL250" i="6"/>
  <c r="CJ250" i="6"/>
  <c r="CH250" i="6"/>
  <c r="CG250" i="6"/>
  <c r="CF250" i="6"/>
  <c r="CE250" i="6"/>
  <c r="CD250" i="6"/>
  <c r="CC250" i="6"/>
  <c r="CB250" i="6"/>
  <c r="CA250" i="6"/>
  <c r="BY250" i="6"/>
  <c r="BX250" i="6"/>
  <c r="BW250" i="6"/>
  <c r="BV250" i="6"/>
  <c r="BU250" i="6"/>
  <c r="BT250" i="6"/>
  <c r="BS250" i="6"/>
  <c r="BR250" i="6"/>
  <c r="BN250" i="6"/>
  <c r="BI250" i="6"/>
  <c r="BH250" i="6"/>
  <c r="BG250" i="6"/>
  <c r="BF250" i="6"/>
  <c r="BE250" i="6"/>
  <c r="BD250" i="6"/>
  <c r="BC250" i="6"/>
  <c r="BA250" i="6"/>
  <c r="AZ250" i="6"/>
  <c r="AY250" i="6"/>
  <c r="AX250" i="6"/>
  <c r="AW250" i="6"/>
  <c r="AV250" i="6"/>
  <c r="AU250" i="6"/>
  <c r="AT250" i="6"/>
  <c r="AP250" i="6"/>
  <c r="AK250" i="6"/>
  <c r="AJ250" i="6"/>
  <c r="AI250" i="6"/>
  <c r="AH250" i="6"/>
  <c r="AG250" i="6"/>
  <c r="AF250" i="6"/>
  <c r="AE250" i="6"/>
  <c r="AC250" i="6"/>
  <c r="AB250" i="6"/>
  <c r="AA250" i="6"/>
  <c r="Z250" i="6"/>
  <c r="Y250" i="6"/>
  <c r="X250" i="6"/>
  <c r="W250" i="6"/>
  <c r="V250" i="6"/>
  <c r="S250" i="6"/>
  <c r="R250" i="6"/>
  <c r="P250" i="6"/>
  <c r="M250" i="6"/>
  <c r="CX247" i="6"/>
  <c r="CR247" i="6"/>
  <c r="CQ247" i="6"/>
  <c r="CO247" i="6"/>
  <c r="CM247" i="6"/>
  <c r="CK247" i="6"/>
  <c r="BZ247" i="6"/>
  <c r="BT247" i="6"/>
  <c r="BS247" i="6"/>
  <c r="BP247" i="6"/>
  <c r="BO247" i="6"/>
  <c r="BB247" i="6"/>
  <c r="AU247" i="6"/>
  <c r="AQ247" i="6"/>
  <c r="AO247" i="6"/>
  <c r="AD247" i="6"/>
  <c r="X247" i="6"/>
  <c r="W247" i="6"/>
  <c r="U247" i="6"/>
  <c r="T247" i="6"/>
  <c r="S247" i="6"/>
  <c r="R247" i="6"/>
  <c r="Q247" i="6"/>
  <c r="BR247" i="6"/>
  <c r="DF247" i="6"/>
  <c r="DE247" i="6"/>
  <c r="DD247" i="6"/>
  <c r="DC247" i="6"/>
  <c r="DB247" i="6"/>
  <c r="DA247" i="6"/>
  <c r="CZ247" i="6"/>
  <c r="CY247" i="6"/>
  <c r="CW247" i="6"/>
  <c r="CV247" i="6"/>
  <c r="CT247" i="6"/>
  <c r="CN247" i="6"/>
  <c r="CL247" i="6"/>
  <c r="CJ247" i="6"/>
  <c r="CI247" i="6"/>
  <c r="CH247" i="6"/>
  <c r="CG247" i="6"/>
  <c r="CF247" i="6"/>
  <c r="CE247" i="6"/>
  <c r="CD247" i="6"/>
  <c r="CC247" i="6"/>
  <c r="CB247" i="6"/>
  <c r="CA247" i="6"/>
  <c r="BY247" i="6"/>
  <c r="BX247" i="6"/>
  <c r="BV247" i="6"/>
  <c r="BQ247" i="6"/>
  <c r="BN247" i="6"/>
  <c r="BM247" i="6"/>
  <c r="BL247" i="6"/>
  <c r="BK247" i="6"/>
  <c r="BJ247" i="6"/>
  <c r="BI247" i="6"/>
  <c r="BH247" i="6"/>
  <c r="BG247" i="6"/>
  <c r="BF247" i="6"/>
  <c r="BE247" i="6"/>
  <c r="BD247" i="6"/>
  <c r="BC247" i="6"/>
  <c r="BA247" i="6"/>
  <c r="AZ247" i="6"/>
  <c r="AX247" i="6"/>
  <c r="AV247" i="6"/>
  <c r="AS247" i="6"/>
  <c r="AR247" i="6"/>
  <c r="AP247" i="6"/>
  <c r="AN247" i="6"/>
  <c r="AM247" i="6"/>
  <c r="AL247" i="6"/>
  <c r="AK247" i="6"/>
  <c r="AJ247" i="6"/>
  <c r="AI247" i="6"/>
  <c r="AH247" i="6"/>
  <c r="AG247" i="6"/>
  <c r="AF247" i="6"/>
  <c r="AE247" i="6"/>
  <c r="AC247" i="6"/>
  <c r="AB247" i="6"/>
  <c r="Z247" i="6"/>
  <c r="P247" i="6"/>
  <c r="O247" i="6"/>
  <c r="N247" i="6"/>
  <c r="DH244" i="6"/>
  <c r="A244" i="6"/>
  <c r="DH242" i="6"/>
  <c r="DE241" i="6"/>
  <c r="DD241" i="6"/>
  <c r="DB241" i="6"/>
  <c r="DA241" i="6"/>
  <c r="CZ241" i="6"/>
  <c r="CY241" i="6"/>
  <c r="CX241" i="6"/>
  <c r="CM241" i="6"/>
  <c r="CG241" i="6"/>
  <c r="CF241" i="6"/>
  <c r="CD241" i="6"/>
  <c r="CC241" i="6"/>
  <c r="CB241" i="6"/>
  <c r="CA241" i="6"/>
  <c r="BZ241" i="6"/>
  <c r="BO241" i="6"/>
  <c r="BI241" i="6"/>
  <c r="BH241" i="6"/>
  <c r="BE241" i="6"/>
  <c r="BD241" i="6"/>
  <c r="BC241" i="6"/>
  <c r="BB241" i="6"/>
  <c r="AK241" i="6"/>
  <c r="AJ241" i="6"/>
  <c r="AH241" i="6"/>
  <c r="AG241" i="6"/>
  <c r="AF241" i="6"/>
  <c r="AE241" i="6"/>
  <c r="AD241" i="6"/>
  <c r="DC241" i="6"/>
  <c r="CT241" i="6"/>
  <c r="CE241" i="6"/>
  <c r="BV241" i="6"/>
  <c r="BG241" i="6"/>
  <c r="BA241" i="6"/>
  <c r="AX241" i="6"/>
  <c r="AI241" i="6"/>
  <c r="AC241" i="6"/>
  <c r="Z241" i="6"/>
  <c r="DF241" i="6"/>
  <c r="CW241" i="6"/>
  <c r="CV241" i="6"/>
  <c r="CU241" i="6"/>
  <c r="CS241" i="6"/>
  <c r="CR241" i="6"/>
  <c r="CQ241" i="6"/>
  <c r="CP241" i="6"/>
  <c r="CO241" i="6"/>
  <c r="CN241" i="6"/>
  <c r="CL241" i="6"/>
  <c r="CK241" i="6"/>
  <c r="CJ241" i="6"/>
  <c r="CI241" i="6"/>
  <c r="CH241" i="6"/>
  <c r="BY241" i="6"/>
  <c r="BX241" i="6"/>
  <c r="BW241" i="6"/>
  <c r="BU241" i="6"/>
  <c r="BT241" i="6"/>
  <c r="BS241" i="6"/>
  <c r="BR241" i="6"/>
  <c r="BQ241" i="6"/>
  <c r="BP241" i="6"/>
  <c r="BN241" i="6"/>
  <c r="BM241" i="6"/>
  <c r="BL241" i="6"/>
  <c r="BK241" i="6"/>
  <c r="BJ241" i="6"/>
  <c r="BF241" i="6"/>
  <c r="AZ241" i="6"/>
  <c r="AY241" i="6"/>
  <c r="AW241" i="6"/>
  <c r="AV241" i="6"/>
  <c r="AU241" i="6"/>
  <c r="AT241" i="6"/>
  <c r="AS241" i="6"/>
  <c r="AR241" i="6"/>
  <c r="AQ241" i="6"/>
  <c r="AP241" i="6"/>
  <c r="AO241" i="6"/>
  <c r="AN241" i="6"/>
  <c r="AM241" i="6"/>
  <c r="AL241" i="6"/>
  <c r="AB241" i="6"/>
  <c r="Y241" i="6"/>
  <c r="DE238" i="6"/>
  <c r="DD238" i="6"/>
  <c r="DA238" i="6"/>
  <c r="CZ238" i="6"/>
  <c r="CY238" i="6"/>
  <c r="CX238" i="6"/>
  <c r="CG238" i="6"/>
  <c r="CF238" i="6"/>
  <c r="CE238" i="6"/>
  <c r="CC238" i="6"/>
  <c r="CB238" i="6"/>
  <c r="CA238" i="6"/>
  <c r="BZ238" i="6"/>
  <c r="BV238" i="6"/>
  <c r="BO238" i="6"/>
  <c r="BI238" i="6"/>
  <c r="BH238" i="6"/>
  <c r="BG238" i="6"/>
  <c r="BF238" i="6"/>
  <c r="BE238" i="6"/>
  <c r="BD238" i="6"/>
  <c r="BC238" i="6"/>
  <c r="BB238" i="6"/>
  <c r="AX238" i="6"/>
  <c r="AQ238" i="6"/>
  <c r="AK238" i="6"/>
  <c r="AJ238" i="6"/>
  <c r="AG238" i="6"/>
  <c r="AF238" i="6"/>
  <c r="AE238" i="6"/>
  <c r="AD238" i="6"/>
  <c r="Z238" i="6"/>
  <c r="DC238" i="6"/>
  <c r="CW238" i="6"/>
  <c r="CT238" i="6"/>
  <c r="CS238" i="6"/>
  <c r="CR238" i="6"/>
  <c r="BY238" i="6"/>
  <c r="BU238" i="6"/>
  <c r="BT238" i="6"/>
  <c r="BA238" i="6"/>
  <c r="AW238" i="6"/>
  <c r="AV238" i="6"/>
  <c r="AI238" i="6"/>
  <c r="AC238" i="6"/>
  <c r="Y238" i="6"/>
  <c r="DF238" i="6"/>
  <c r="DB238" i="6"/>
  <c r="CU238" i="6"/>
  <c r="CQ238" i="6"/>
  <c r="CO238" i="6"/>
  <c r="CN238" i="6"/>
  <c r="CM238" i="6"/>
  <c r="CK238" i="6"/>
  <c r="CJ238" i="6"/>
  <c r="CI238" i="6"/>
  <c r="CH238" i="6"/>
  <c r="CD238" i="6"/>
  <c r="BW238" i="6"/>
  <c r="BS238" i="6"/>
  <c r="BQ238" i="6"/>
  <c r="BP238" i="6"/>
  <c r="BM238" i="6"/>
  <c r="BL238" i="6"/>
  <c r="BK238" i="6"/>
  <c r="BJ238" i="6"/>
  <c r="AY238" i="6"/>
  <c r="AU238" i="6"/>
  <c r="AS238" i="6"/>
  <c r="AR238" i="6"/>
  <c r="AO238" i="6"/>
  <c r="AN238" i="6"/>
  <c r="AM238" i="6"/>
  <c r="AL238" i="6"/>
  <c r="AH238" i="6"/>
  <c r="DH235" i="6"/>
  <c r="A235" i="6"/>
  <c r="DH234" i="6"/>
  <c r="DH233" i="6"/>
  <c r="DF232" i="6"/>
  <c r="DC232" i="6"/>
  <c r="DB232" i="6"/>
  <c r="CX232" i="6"/>
  <c r="CW232" i="6"/>
  <c r="CV232" i="6"/>
  <c r="CQ232" i="6"/>
  <c r="CJ232" i="6"/>
  <c r="CH232" i="6"/>
  <c r="CG232" i="6"/>
  <c r="CE232" i="6"/>
  <c r="CD232" i="6"/>
  <c r="BZ232" i="6"/>
  <c r="BY232" i="6"/>
  <c r="BX232" i="6"/>
  <c r="BS232" i="6"/>
  <c r="BM232" i="6"/>
  <c r="DD232" i="6"/>
  <c r="CU232" i="6"/>
  <c r="CR232" i="6"/>
  <c r="CI232" i="6"/>
  <c r="CF232" i="6"/>
  <c r="BW232" i="6"/>
  <c r="BT232" i="6"/>
  <c r="BK232" i="6"/>
  <c r="DE232" i="6"/>
  <c r="DA232" i="6"/>
  <c r="CZ232" i="6"/>
  <c r="CY232" i="6"/>
  <c r="CT232" i="6"/>
  <c r="CS232" i="6"/>
  <c r="CP232" i="6"/>
  <c r="CO232" i="6"/>
  <c r="CN232" i="6"/>
  <c r="CM232" i="6"/>
  <c r="CL232" i="6"/>
  <c r="CK232" i="6"/>
  <c r="CC232" i="6"/>
  <c r="CB232" i="6"/>
  <c r="CA232" i="6"/>
  <c r="BV232" i="6"/>
  <c r="BU232" i="6"/>
  <c r="BR232" i="6"/>
  <c r="BQ232" i="6"/>
  <c r="BP232" i="6"/>
  <c r="BO232" i="6"/>
  <c r="BN232" i="6"/>
  <c r="BL232" i="6"/>
  <c r="DH230" i="6"/>
  <c r="DF229" i="6"/>
  <c r="DE229" i="6"/>
  <c r="DA229" i="6"/>
  <c r="CZ229" i="6"/>
  <c r="CY229" i="6"/>
  <c r="CT229" i="6"/>
  <c r="CK229" i="6"/>
  <c r="CH229" i="6"/>
  <c r="CG229" i="6"/>
  <c r="CC229" i="6"/>
  <c r="CB229" i="6"/>
  <c r="CA229" i="6"/>
  <c r="BV229" i="6"/>
  <c r="BO229" i="6"/>
  <c r="BM229" i="6"/>
  <c r="CX229" i="6"/>
  <c r="CU229" i="6"/>
  <c r="CL229" i="6"/>
  <c r="CI229" i="6"/>
  <c r="BZ229" i="6"/>
  <c r="BW229" i="6"/>
  <c r="BN229" i="6"/>
  <c r="BK229" i="6"/>
  <c r="DD229" i="6"/>
  <c r="DC229" i="6"/>
  <c r="DB229" i="6"/>
  <c r="CW229" i="6"/>
  <c r="CV229" i="6"/>
  <c r="CS229" i="6"/>
  <c r="CR229" i="6"/>
  <c r="CQ229" i="6"/>
  <c r="CP229" i="6"/>
  <c r="CO229" i="6"/>
  <c r="CN229" i="6"/>
  <c r="CM229" i="6"/>
  <c r="CJ229" i="6"/>
  <c r="CF229" i="6"/>
  <c r="CE229" i="6"/>
  <c r="CD229" i="6"/>
  <c r="BY229" i="6"/>
  <c r="BX229" i="6"/>
  <c r="BU229" i="6"/>
  <c r="BT229" i="6"/>
  <c r="BS229" i="6"/>
  <c r="BR229" i="6"/>
  <c r="BQ229" i="6"/>
  <c r="BP229" i="6"/>
  <c r="BL229" i="6"/>
  <c r="DH226" i="6"/>
  <c r="A226" i="6"/>
  <c r="DF223" i="6"/>
  <c r="DE223" i="6"/>
  <c r="DC223" i="6"/>
  <c r="CZ223" i="6"/>
  <c r="CO223" i="6"/>
  <c r="CK223" i="6"/>
  <c r="CI223" i="6"/>
  <c r="CH223" i="6"/>
  <c r="CG223" i="6"/>
  <c r="CE223" i="6"/>
  <c r="BQ223" i="6"/>
  <c r="BM223" i="6"/>
  <c r="BK223" i="6"/>
  <c r="BJ223" i="6"/>
  <c r="BI223" i="6"/>
  <c r="BG223" i="6"/>
  <c r="BF223" i="6"/>
  <c r="AS223" i="6"/>
  <c r="AO223" i="6"/>
  <c r="AM223" i="6"/>
  <c r="AL223" i="6"/>
  <c r="AK223" i="6"/>
  <c r="AI223" i="6"/>
  <c r="AH223" i="6"/>
  <c r="AB223" i="6"/>
  <c r="U223" i="6"/>
  <c r="DD223" i="6"/>
  <c r="DB223" i="6"/>
  <c r="DA223" i="6"/>
  <c r="CX223" i="6"/>
  <c r="CF223" i="6"/>
  <c r="CD223" i="6"/>
  <c r="CC223" i="6"/>
  <c r="CB223" i="6"/>
  <c r="BZ223" i="6"/>
  <c r="BH223" i="6"/>
  <c r="BE223" i="6"/>
  <c r="BD223" i="6"/>
  <c r="BB223" i="6"/>
  <c r="AJ223" i="6"/>
  <c r="AG223" i="6"/>
  <c r="AF223" i="6"/>
  <c r="AD223" i="6"/>
  <c r="CY223" i="6"/>
  <c r="CV223" i="6"/>
  <c r="CU223" i="6"/>
  <c r="CT223" i="6"/>
  <c r="CS223" i="6"/>
  <c r="CR223" i="6"/>
  <c r="CQ223" i="6"/>
  <c r="CP223" i="6"/>
  <c r="CN223" i="6"/>
  <c r="CM223" i="6"/>
  <c r="CL223" i="6"/>
  <c r="CA223" i="6"/>
  <c r="BX223" i="6"/>
  <c r="BW223" i="6"/>
  <c r="BV223" i="6"/>
  <c r="BU223" i="6"/>
  <c r="BT223" i="6"/>
  <c r="BS223" i="6"/>
  <c r="BR223" i="6"/>
  <c r="BP223" i="6"/>
  <c r="BO223" i="6"/>
  <c r="BN223" i="6"/>
  <c r="BC223" i="6"/>
  <c r="AZ223" i="6"/>
  <c r="AY223" i="6"/>
  <c r="AX223" i="6"/>
  <c r="AW223" i="6"/>
  <c r="AV223" i="6"/>
  <c r="AU223" i="6"/>
  <c r="AT223" i="6"/>
  <c r="AR223" i="6"/>
  <c r="AQ223" i="6"/>
  <c r="AP223" i="6"/>
  <c r="AE223" i="6"/>
  <c r="AA223" i="6"/>
  <c r="Z223" i="6"/>
  <c r="Y223" i="6"/>
  <c r="X223" i="6"/>
  <c r="W223" i="6"/>
  <c r="V223" i="6"/>
  <c r="CX220" i="6"/>
  <c r="CT220" i="6"/>
  <c r="CR220" i="6"/>
  <c r="CQ220" i="6"/>
  <c r="CP220" i="6"/>
  <c r="CN220" i="6"/>
  <c r="CK220" i="6"/>
  <c r="BZ220" i="6"/>
  <c r="BV220" i="6"/>
  <c r="BT220" i="6"/>
  <c r="BS220" i="6"/>
  <c r="BR220" i="6"/>
  <c r="BQ220" i="6"/>
  <c r="BP220" i="6"/>
  <c r="BO220" i="6"/>
  <c r="BM220" i="6"/>
  <c r="BB220" i="6"/>
  <c r="AX220" i="6"/>
  <c r="AV220" i="6"/>
  <c r="AU220" i="6"/>
  <c r="AT220" i="6"/>
  <c r="AD220" i="6"/>
  <c r="Z220" i="6"/>
  <c r="X220" i="6"/>
  <c r="W220" i="6"/>
  <c r="V220" i="6"/>
  <c r="U220" i="6"/>
  <c r="DE220" i="6"/>
  <c r="CO220" i="6"/>
  <c r="CM220" i="6"/>
  <c r="CL220" i="6"/>
  <c r="CI220" i="6"/>
  <c r="BN220" i="6"/>
  <c r="BK220" i="6"/>
  <c r="AS220" i="6"/>
  <c r="AQ220" i="6"/>
  <c r="AP220" i="6"/>
  <c r="AO220" i="6"/>
  <c r="AM220" i="6"/>
  <c r="DH219" i="6"/>
  <c r="DC220" i="6"/>
  <c r="DB220" i="6"/>
  <c r="DA220" i="6"/>
  <c r="CZ220" i="6"/>
  <c r="CY220" i="6"/>
  <c r="CW220" i="6"/>
  <c r="CV220" i="6"/>
  <c r="CU220" i="6"/>
  <c r="CS220" i="6"/>
  <c r="CE220" i="6"/>
  <c r="CD220" i="6"/>
  <c r="CC220" i="6"/>
  <c r="CB220" i="6"/>
  <c r="CA220" i="6"/>
  <c r="BY220" i="6"/>
  <c r="BX220" i="6"/>
  <c r="BW220" i="6"/>
  <c r="BU220" i="6"/>
  <c r="BG220" i="6"/>
  <c r="BF220" i="6"/>
  <c r="BE220" i="6"/>
  <c r="BD220" i="6"/>
  <c r="BC220" i="6"/>
  <c r="BA220" i="6"/>
  <c r="AZ220" i="6"/>
  <c r="AY220" i="6"/>
  <c r="AW220" i="6"/>
  <c r="AR220" i="6"/>
  <c r="AI220" i="6"/>
  <c r="AH220" i="6"/>
  <c r="AG220" i="6"/>
  <c r="AF220" i="6"/>
  <c r="AE220" i="6"/>
  <c r="AC220" i="6"/>
  <c r="AB220" i="6"/>
  <c r="AA220" i="6"/>
  <c r="Y220" i="6"/>
  <c r="DH217" i="6"/>
  <c r="A217" i="6"/>
  <c r="DA214" i="6"/>
  <c r="CQ214" i="6"/>
  <c r="CM214" i="6"/>
  <c r="CI214" i="6"/>
  <c r="CC214" i="6"/>
  <c r="BO214" i="6"/>
  <c r="BE214" i="6"/>
  <c r="AR214" i="6"/>
  <c r="AQ214" i="6"/>
  <c r="AP214" i="6"/>
  <c r="AO214" i="6"/>
  <c r="AG214" i="6"/>
  <c r="AA214" i="6"/>
  <c r="CU214" i="6"/>
  <c r="CP214" i="6"/>
  <c r="BW214" i="6"/>
  <c r="BV214" i="6"/>
  <c r="BU214" i="6"/>
  <c r="BT214" i="6"/>
  <c r="AY214" i="6"/>
  <c r="AX214" i="6"/>
  <c r="AW214" i="6"/>
  <c r="AV214" i="6"/>
  <c r="AU214" i="6"/>
  <c r="AT214" i="6"/>
  <c r="AS214" i="6"/>
  <c r="DF214" i="6"/>
  <c r="DE214" i="6"/>
  <c r="DD214" i="6"/>
  <c r="DC214" i="6"/>
  <c r="DB214" i="6"/>
  <c r="CY214" i="6"/>
  <c r="CS214" i="6"/>
  <c r="CR214" i="6"/>
  <c r="CO214" i="6"/>
  <c r="CN214" i="6"/>
  <c r="CL214" i="6"/>
  <c r="CK214" i="6"/>
  <c r="CJ214" i="6"/>
  <c r="CH214" i="6"/>
  <c r="CG214" i="6"/>
  <c r="CF214" i="6"/>
  <c r="CE214" i="6"/>
  <c r="CD214" i="6"/>
  <c r="CA214" i="6"/>
  <c r="BY214" i="6"/>
  <c r="BQ214" i="6"/>
  <c r="BP214" i="6"/>
  <c r="BN214" i="6"/>
  <c r="BM214" i="6"/>
  <c r="BL214" i="6"/>
  <c r="BK214" i="6"/>
  <c r="BJ214" i="6"/>
  <c r="BI214" i="6"/>
  <c r="BH214" i="6"/>
  <c r="BG214" i="6"/>
  <c r="BF214" i="6"/>
  <c r="BC214" i="6"/>
  <c r="AN214" i="6"/>
  <c r="AM214" i="6"/>
  <c r="AL214" i="6"/>
  <c r="AK214" i="6"/>
  <c r="AJ214" i="6"/>
  <c r="AI214" i="6"/>
  <c r="AH214" i="6"/>
  <c r="AE214" i="6"/>
  <c r="DH212" i="6"/>
  <c r="CW211" i="6"/>
  <c r="CT211" i="6"/>
  <c r="CQ211" i="6"/>
  <c r="CP211" i="6"/>
  <c r="CM211" i="6"/>
  <c r="CI211" i="6"/>
  <c r="BT211" i="6"/>
  <c r="BS211" i="6"/>
  <c r="BR211" i="6"/>
  <c r="BO211" i="6"/>
  <c r="AU211" i="6"/>
  <c r="AT211" i="6"/>
  <c r="AQ211" i="6"/>
  <c r="AM211" i="6"/>
  <c r="AA211" i="6"/>
  <c r="DE211" i="6"/>
  <c r="DA211" i="6"/>
  <c r="CZ211" i="6"/>
  <c r="CL211" i="6"/>
  <c r="CJ211" i="6"/>
  <c r="CG211" i="6"/>
  <c r="CC211" i="6"/>
  <c r="CB211" i="6"/>
  <c r="BN211" i="6"/>
  <c r="BL211" i="6"/>
  <c r="BI211" i="6"/>
  <c r="BE211" i="6"/>
  <c r="BD211" i="6"/>
  <c r="AP211" i="6"/>
  <c r="AN211" i="6"/>
  <c r="AK211" i="6"/>
  <c r="AG211" i="6"/>
  <c r="AF211" i="6"/>
  <c r="DC211" i="6"/>
  <c r="DB211" i="6"/>
  <c r="CX211" i="6"/>
  <c r="CV211" i="6"/>
  <c r="CU211" i="6"/>
  <c r="CS211" i="6"/>
  <c r="CR211" i="6"/>
  <c r="CO211" i="6"/>
  <c r="CN211" i="6"/>
  <c r="CK211" i="6"/>
  <c r="CE211" i="6"/>
  <c r="CD211" i="6"/>
  <c r="BZ211" i="6"/>
  <c r="BY211" i="6"/>
  <c r="BX211" i="6"/>
  <c r="BW211" i="6"/>
  <c r="BV211" i="6"/>
  <c r="BU211" i="6"/>
  <c r="BQ211" i="6"/>
  <c r="BP211" i="6"/>
  <c r="BM211" i="6"/>
  <c r="BK211" i="6"/>
  <c r="BG211" i="6"/>
  <c r="BF211" i="6"/>
  <c r="BB211" i="6"/>
  <c r="BA211" i="6"/>
  <c r="AZ211" i="6"/>
  <c r="AY211" i="6"/>
  <c r="AX211" i="6"/>
  <c r="AW211" i="6"/>
  <c r="AV211" i="6"/>
  <c r="AS211" i="6"/>
  <c r="AR211" i="6"/>
  <c r="AO211" i="6"/>
  <c r="AI211" i="6"/>
  <c r="AH211" i="6"/>
  <c r="AD211" i="6"/>
  <c r="AC211" i="6"/>
  <c r="AB211" i="6"/>
  <c r="DH208" i="6"/>
  <c r="A208" i="6"/>
  <c r="DH206" i="6"/>
  <c r="CY205" i="6"/>
  <c r="CX205" i="6"/>
  <c r="CW205" i="6"/>
  <c r="CU205" i="6"/>
  <c r="CT205" i="6"/>
  <c r="CR205" i="6"/>
  <c r="CQ205" i="6"/>
  <c r="CM205" i="6"/>
  <c r="CA205" i="6"/>
  <c r="BZ205" i="6"/>
  <c r="BY205" i="6"/>
  <c r="BV205" i="6"/>
  <c r="BT205" i="6"/>
  <c r="BO205" i="6"/>
  <c r="BH205" i="6"/>
  <c r="BC205" i="6"/>
  <c r="BB205" i="6"/>
  <c r="BA205" i="6"/>
  <c r="AZ205" i="6"/>
  <c r="AY205" i="6"/>
  <c r="AX205" i="6"/>
  <c r="AV205" i="6"/>
  <c r="AQ205" i="6"/>
  <c r="AC205" i="6"/>
  <c r="Z205" i="6"/>
  <c r="X205" i="6"/>
  <c r="W205" i="6"/>
  <c r="S205" i="6"/>
  <c r="Q205" i="6"/>
  <c r="L205" i="6"/>
  <c r="DE205" i="6"/>
  <c r="DD205" i="6"/>
  <c r="DB205" i="6"/>
  <c r="DA205" i="6"/>
  <c r="CZ205" i="6"/>
  <c r="CG205" i="6"/>
  <c r="CF205" i="6"/>
  <c r="CD205" i="6"/>
  <c r="CB205" i="6"/>
  <c r="BW205" i="6"/>
  <c r="BI205" i="6"/>
  <c r="BF205" i="6"/>
  <c r="BE205" i="6"/>
  <c r="BD205" i="6"/>
  <c r="AK205" i="6"/>
  <c r="AJ205" i="6"/>
  <c r="AH205" i="6"/>
  <c r="AF205" i="6"/>
  <c r="AE205" i="6"/>
  <c r="AD205" i="6"/>
  <c r="AA205" i="6"/>
  <c r="M205" i="6"/>
  <c r="J205" i="6"/>
  <c r="H205" i="6"/>
  <c r="DC205" i="6"/>
  <c r="CV205" i="6"/>
  <c r="CS205" i="6"/>
  <c r="CP205" i="6"/>
  <c r="CO205" i="6"/>
  <c r="CL205" i="6"/>
  <c r="CK205" i="6"/>
  <c r="CJ205" i="6"/>
  <c r="CE205" i="6"/>
  <c r="BX205" i="6"/>
  <c r="BU205" i="6"/>
  <c r="BS205" i="6"/>
  <c r="BR205" i="6"/>
  <c r="BQ205" i="6"/>
  <c r="BN205" i="6"/>
  <c r="BM205" i="6"/>
  <c r="BL205" i="6"/>
  <c r="BG205" i="6"/>
  <c r="AW205" i="6"/>
  <c r="AU205" i="6"/>
  <c r="AT205" i="6"/>
  <c r="AS205" i="6"/>
  <c r="AP205" i="6"/>
  <c r="AO205" i="6"/>
  <c r="AN205" i="6"/>
  <c r="AI205" i="6"/>
  <c r="AB205" i="6"/>
  <c r="Y205" i="6"/>
  <c r="V205" i="6"/>
  <c r="U205" i="6"/>
  <c r="R205" i="6"/>
  <c r="P205" i="6"/>
  <c r="K205" i="6"/>
  <c r="DD202" i="6"/>
  <c r="CY202" i="6"/>
  <c r="CX202" i="6"/>
  <c r="CW202" i="6"/>
  <c r="CU202" i="6"/>
  <c r="CT202" i="6"/>
  <c r="CR202" i="6"/>
  <c r="CF202" i="6"/>
  <c r="CA202" i="6"/>
  <c r="BZ202" i="6"/>
  <c r="BY202" i="6"/>
  <c r="BW202" i="6"/>
  <c r="BV202" i="6"/>
  <c r="BT202" i="6"/>
  <c r="BS202" i="6"/>
  <c r="BO202" i="6"/>
  <c r="BH202" i="6"/>
  <c r="BC202" i="6"/>
  <c r="BB202" i="6"/>
  <c r="BA202" i="6"/>
  <c r="AY202" i="6"/>
  <c r="AX202" i="6"/>
  <c r="AV202" i="6"/>
  <c r="AT202" i="6"/>
  <c r="AE202" i="6"/>
  <c r="AD202" i="6"/>
  <c r="AC202" i="6"/>
  <c r="AA202" i="6"/>
  <c r="Z202" i="6"/>
  <c r="X202" i="6"/>
  <c r="V202" i="6"/>
  <c r="S202" i="6"/>
  <c r="L202" i="6"/>
  <c r="DE202" i="6"/>
  <c r="DB202" i="6"/>
  <c r="CZ202" i="6"/>
  <c r="CS202" i="6"/>
  <c r="CG202" i="6"/>
  <c r="CD202" i="6"/>
  <c r="CB202" i="6"/>
  <c r="BM202" i="6"/>
  <c r="BI202" i="6"/>
  <c r="BF202" i="6"/>
  <c r="BD202" i="6"/>
  <c r="AK202" i="6"/>
  <c r="AJ202" i="6"/>
  <c r="AH202" i="6"/>
  <c r="AF202" i="6"/>
  <c r="Y202" i="6"/>
  <c r="Q202" i="6"/>
  <c r="DH201" i="6"/>
  <c r="M202" i="6"/>
  <c r="J202" i="6"/>
  <c r="H202" i="6"/>
  <c r="DA202" i="6"/>
  <c r="CV202" i="6"/>
  <c r="CQ202" i="6"/>
  <c r="CP202" i="6"/>
  <c r="CO202" i="6"/>
  <c r="CM202" i="6"/>
  <c r="CL202" i="6"/>
  <c r="CK202" i="6"/>
  <c r="CJ202" i="6"/>
  <c r="CC202" i="6"/>
  <c r="BX202" i="6"/>
  <c r="BR202" i="6"/>
  <c r="BQ202" i="6"/>
  <c r="BN202" i="6"/>
  <c r="BL202" i="6"/>
  <c r="BE202" i="6"/>
  <c r="AZ202" i="6"/>
  <c r="AU202" i="6"/>
  <c r="AS202" i="6"/>
  <c r="AQ202" i="6"/>
  <c r="AP202" i="6"/>
  <c r="AO202" i="6"/>
  <c r="AN202" i="6"/>
  <c r="AG202" i="6"/>
  <c r="AB202" i="6"/>
  <c r="W202" i="6"/>
  <c r="U202" i="6"/>
  <c r="R202" i="6"/>
  <c r="P202" i="6"/>
  <c r="DH199" i="6"/>
  <c r="A199" i="6"/>
  <c r="DE196" i="6"/>
  <c r="CY196" i="6"/>
  <c r="CX196" i="6"/>
  <c r="CV196" i="6"/>
  <c r="CL196" i="6"/>
  <c r="CB196" i="6"/>
  <c r="CA196" i="6"/>
  <c r="BZ196" i="6"/>
  <c r="BY196" i="6"/>
  <c r="BX196" i="6"/>
  <c r="BS196" i="6"/>
  <c r="BI196" i="6"/>
  <c r="BH196" i="6"/>
  <c r="BC196" i="6"/>
  <c r="BB196" i="6"/>
  <c r="AZ196" i="6"/>
  <c r="AQ196" i="6"/>
  <c r="AP196" i="6"/>
  <c r="AK196" i="6"/>
  <c r="AG196" i="6"/>
  <c r="AF196" i="6"/>
  <c r="AE196" i="6"/>
  <c r="AD196" i="6"/>
  <c r="AB196" i="6"/>
  <c r="CZ196" i="6"/>
  <c r="CT196" i="6"/>
  <c r="CS196" i="6"/>
  <c r="BV196" i="6"/>
  <c r="BU196" i="6"/>
  <c r="BO196" i="6"/>
  <c r="BN196" i="6"/>
  <c r="BD196" i="6"/>
  <c r="AX196" i="6"/>
  <c r="AW196" i="6"/>
  <c r="AU196" i="6"/>
  <c r="Z196" i="6"/>
  <c r="DF196" i="6"/>
  <c r="DD196" i="6"/>
  <c r="DC196" i="6"/>
  <c r="DB196" i="6"/>
  <c r="DA196" i="6"/>
  <c r="CW196" i="6"/>
  <c r="CQ196" i="6"/>
  <c r="CM196" i="6"/>
  <c r="CK196" i="6"/>
  <c r="CJ196" i="6"/>
  <c r="CI196" i="6"/>
  <c r="CH196" i="6"/>
  <c r="CG196" i="6"/>
  <c r="CF196" i="6"/>
  <c r="CE196" i="6"/>
  <c r="CD196" i="6"/>
  <c r="CC196" i="6"/>
  <c r="BM196" i="6"/>
  <c r="BL196" i="6"/>
  <c r="BK196" i="6"/>
  <c r="BJ196" i="6"/>
  <c r="BG196" i="6"/>
  <c r="BF196" i="6"/>
  <c r="BE196" i="6"/>
  <c r="BA196" i="6"/>
  <c r="AO196" i="6"/>
  <c r="AN196" i="6"/>
  <c r="AM196" i="6"/>
  <c r="AL196" i="6"/>
  <c r="AJ196" i="6"/>
  <c r="AI196" i="6"/>
  <c r="AH196" i="6"/>
  <c r="AC196" i="6"/>
  <c r="DC193" i="6"/>
  <c r="CX193" i="6"/>
  <c r="CV193" i="6"/>
  <c r="CS193" i="6"/>
  <c r="CR193" i="6"/>
  <c r="CQ193" i="6"/>
  <c r="CP193" i="6"/>
  <c r="CM193" i="6"/>
  <c r="CK193" i="6"/>
  <c r="CC193" i="6"/>
  <c r="CA193" i="6"/>
  <c r="BU193" i="6"/>
  <c r="BT193" i="6"/>
  <c r="BR193" i="6"/>
  <c r="BM193" i="6"/>
  <c r="BG193" i="6"/>
  <c r="BE193" i="6"/>
  <c r="BB193" i="6"/>
  <c r="AV193" i="6"/>
  <c r="AU193" i="6"/>
  <c r="AT193" i="6"/>
  <c r="AI193" i="6"/>
  <c r="AD193" i="6"/>
  <c r="AB193" i="6"/>
  <c r="DD193" i="6"/>
  <c r="CN193" i="6"/>
  <c r="CG193" i="6"/>
  <c r="CF193" i="6"/>
  <c r="BP193" i="6"/>
  <c r="BO193" i="6"/>
  <c r="BI193" i="6"/>
  <c r="BH193" i="6"/>
  <c r="AW193" i="6"/>
  <c r="AR193" i="6"/>
  <c r="AQ193" i="6"/>
  <c r="DB193" i="6"/>
  <c r="DA193" i="6"/>
  <c r="CZ193" i="6"/>
  <c r="CY193" i="6"/>
  <c r="CW193" i="6"/>
  <c r="CU193" i="6"/>
  <c r="CT193" i="6"/>
  <c r="CE193" i="6"/>
  <c r="CD193" i="6"/>
  <c r="CB193" i="6"/>
  <c r="BZ193" i="6"/>
  <c r="BY193" i="6"/>
  <c r="BX193" i="6"/>
  <c r="BW193" i="6"/>
  <c r="BV193" i="6"/>
  <c r="BS193" i="6"/>
  <c r="BF193" i="6"/>
  <c r="BD193" i="6"/>
  <c r="BC193" i="6"/>
  <c r="BA193" i="6"/>
  <c r="AZ193" i="6"/>
  <c r="AY193" i="6"/>
  <c r="AX193" i="6"/>
  <c r="AO193" i="6"/>
  <c r="AH193" i="6"/>
  <c r="AG193" i="6"/>
  <c r="AF193" i="6"/>
  <c r="AE193" i="6"/>
  <c r="AC193" i="6"/>
  <c r="AA193" i="6"/>
  <c r="DH190" i="6"/>
  <c r="A190" i="6"/>
  <c r="DF187" i="6"/>
  <c r="DB187" i="6"/>
  <c r="CY187" i="6"/>
  <c r="CW187" i="6"/>
  <c r="CU187" i="6"/>
  <c r="CR187" i="6"/>
  <c r="CP187" i="6"/>
  <c r="CL187" i="6"/>
  <c r="CH187" i="6"/>
  <c r="CD187" i="6"/>
  <c r="CA187" i="6"/>
  <c r="BY187" i="6"/>
  <c r="BW187" i="6"/>
  <c r="BU187" i="6"/>
  <c r="BT187" i="6"/>
  <c r="BR187" i="6"/>
  <c r="BQ187" i="6"/>
  <c r="DD187" i="6"/>
  <c r="CS187" i="6"/>
  <c r="CQ187" i="6"/>
  <c r="CN187" i="6"/>
  <c r="CF187" i="6"/>
  <c r="BP187" i="6"/>
  <c r="DE187" i="6"/>
  <c r="DC187" i="6"/>
  <c r="CZ187" i="6"/>
  <c r="CV187" i="6"/>
  <c r="CT187" i="6"/>
  <c r="CO187" i="6"/>
  <c r="CM187" i="6"/>
  <c r="CJ187" i="6"/>
  <c r="CG187" i="6"/>
  <c r="CE187" i="6"/>
  <c r="CB187" i="6"/>
  <c r="BX187" i="6"/>
  <c r="BV187" i="6"/>
  <c r="DE184" i="6"/>
  <c r="DD184" i="6"/>
  <c r="DB184" i="6"/>
  <c r="DA184" i="6"/>
  <c r="CY184" i="6"/>
  <c r="CX184" i="6"/>
  <c r="CT184" i="6"/>
  <c r="CG184" i="6"/>
  <c r="CF184" i="6"/>
  <c r="CE184" i="6"/>
  <c r="CD184" i="6"/>
  <c r="CC184" i="6"/>
  <c r="CB184" i="6"/>
  <c r="CA184" i="6"/>
  <c r="BZ184" i="6"/>
  <c r="BX184" i="6"/>
  <c r="CZ184" i="6"/>
  <c r="CW184" i="6"/>
  <c r="BY184" i="6"/>
  <c r="BW184" i="6"/>
  <c r="BV184" i="6"/>
  <c r="BT184" i="6"/>
  <c r="DF184" i="6"/>
  <c r="DC184" i="6"/>
  <c r="CV184" i="6"/>
  <c r="CS184" i="6"/>
  <c r="CQ184" i="6"/>
  <c r="CP184" i="6"/>
  <c r="CN184" i="6"/>
  <c r="CM184" i="6"/>
  <c r="CL184" i="6"/>
  <c r="CK184" i="6"/>
  <c r="CJ184" i="6"/>
  <c r="CH184" i="6"/>
  <c r="BU184" i="6"/>
  <c r="BS184" i="6"/>
  <c r="BR184" i="6"/>
  <c r="A181" i="6"/>
  <c r="DH179" i="6"/>
  <c r="CX178" i="6"/>
  <c r="CW178" i="6"/>
  <c r="CU178" i="6"/>
  <c r="CT178" i="6"/>
  <c r="CS178" i="6"/>
  <c r="CQ178" i="6"/>
  <c r="CN178" i="6"/>
  <c r="CK178" i="6"/>
  <c r="CI178" i="6"/>
  <c r="CD178" i="6"/>
  <c r="CC178" i="6"/>
  <c r="DF178" i="6"/>
  <c r="DD178" i="6"/>
  <c r="DB178" i="6"/>
  <c r="DA178" i="6"/>
  <c r="CV178" i="6"/>
  <c r="CR178" i="6"/>
  <c r="CO178" i="6"/>
  <c r="CH178" i="6"/>
  <c r="CF178" i="6"/>
  <c r="DE178" i="6"/>
  <c r="CZ178" i="6"/>
  <c r="CY178" i="6"/>
  <c r="CP178" i="6"/>
  <c r="CM178" i="6"/>
  <c r="CL178" i="6"/>
  <c r="CJ178" i="6"/>
  <c r="CG178" i="6"/>
  <c r="CB178" i="6"/>
  <c r="CA178" i="6"/>
  <c r="BZ178" i="6"/>
  <c r="BY178" i="6"/>
  <c r="DD175" i="6"/>
  <c r="DA175" i="6"/>
  <c r="CZ175" i="6"/>
  <c r="CY175" i="6"/>
  <c r="CT175" i="6"/>
  <c r="CP175" i="6"/>
  <c r="CM175" i="6"/>
  <c r="CL175" i="6"/>
  <c r="CK175" i="6"/>
  <c r="CG175" i="6"/>
  <c r="CF175" i="6"/>
  <c r="CB175" i="6"/>
  <c r="DE175" i="6"/>
  <c r="CX175" i="6"/>
  <c r="CW175" i="6"/>
  <c r="CR175" i="6"/>
  <c r="CQ175" i="6"/>
  <c r="CO175" i="6"/>
  <c r="CA175" i="6"/>
  <c r="BZ175" i="6"/>
  <c r="DF175" i="6"/>
  <c r="DC175" i="6"/>
  <c r="DB175" i="6"/>
  <c r="CS175" i="6"/>
  <c r="CN175" i="6"/>
  <c r="CJ175" i="6"/>
  <c r="CI175" i="6"/>
  <c r="CH175" i="6"/>
  <c r="CE175" i="6"/>
  <c r="DH172" i="6"/>
  <c r="A172" i="6"/>
  <c r="DH170" i="6"/>
  <c r="DF169" i="6"/>
  <c r="DC169" i="6"/>
  <c r="DA169" i="6"/>
  <c r="CY169" i="6"/>
  <c r="CW169" i="6"/>
  <c r="CV169" i="6"/>
  <c r="CU169" i="6"/>
  <c r="CT169" i="6"/>
  <c r="CS169" i="6"/>
  <c r="CR169" i="6"/>
  <c r="CQ169" i="6"/>
  <c r="CP169" i="6"/>
  <c r="CN169" i="6"/>
  <c r="CL169" i="6"/>
  <c r="CI169" i="6"/>
  <c r="CH169" i="6"/>
  <c r="BY169" i="6"/>
  <c r="BX169" i="6"/>
  <c r="BU169" i="6"/>
  <c r="BT169" i="6"/>
  <c r="BS169" i="6"/>
  <c r="BR169" i="6"/>
  <c r="BP169" i="6"/>
  <c r="BN169" i="6"/>
  <c r="BM169" i="6"/>
  <c r="BK169" i="6"/>
  <c r="BJ169" i="6"/>
  <c r="BE169" i="6"/>
  <c r="BC169" i="6"/>
  <c r="BA169" i="6"/>
  <c r="AW169" i="6"/>
  <c r="AV169" i="6"/>
  <c r="AT169" i="6"/>
  <c r="AR169" i="6"/>
  <c r="AP169" i="6"/>
  <c r="AO169" i="6"/>
  <c r="AM169" i="6"/>
  <c r="AL169" i="6"/>
  <c r="AI169" i="6"/>
  <c r="AG169" i="6"/>
  <c r="AE169" i="6"/>
  <c r="AC169" i="6"/>
  <c r="DH168" i="6"/>
  <c r="DE169" i="6"/>
  <c r="DD169" i="6"/>
  <c r="DB169" i="6"/>
  <c r="CZ169" i="6"/>
  <c r="CX169" i="6"/>
  <c r="CO169" i="6"/>
  <c r="CM169" i="6"/>
  <c r="CK169" i="6"/>
  <c r="CJ169" i="6"/>
  <c r="CG169" i="6"/>
  <c r="CF169" i="6"/>
  <c r="CE169" i="6"/>
  <c r="CD169" i="6"/>
  <c r="CC169" i="6"/>
  <c r="CB169" i="6"/>
  <c r="CA169" i="6"/>
  <c r="BZ169" i="6"/>
  <c r="BW169" i="6"/>
  <c r="BV169" i="6"/>
  <c r="BQ169" i="6"/>
  <c r="BO169" i="6"/>
  <c r="BL169" i="6"/>
  <c r="BI169" i="6"/>
  <c r="BH169" i="6"/>
  <c r="BG169" i="6"/>
  <c r="BF169" i="6"/>
  <c r="BD169" i="6"/>
  <c r="BB169" i="6"/>
  <c r="AZ169" i="6"/>
  <c r="AY169" i="6"/>
  <c r="AX169" i="6"/>
  <c r="AU169" i="6"/>
  <c r="AS169" i="6"/>
  <c r="AQ169" i="6"/>
  <c r="AN169" i="6"/>
  <c r="AK169" i="6"/>
  <c r="AJ169" i="6"/>
  <c r="AH169" i="6"/>
  <c r="AF169" i="6"/>
  <c r="AD169" i="6"/>
  <c r="DF166" i="6"/>
  <c r="DE166" i="6"/>
  <c r="DB166" i="6"/>
  <c r="CZ166" i="6"/>
  <c r="CV166" i="6"/>
  <c r="CU166" i="6"/>
  <c r="CT166" i="6"/>
  <c r="CR166" i="6"/>
  <c r="CQ166" i="6"/>
  <c r="CO166" i="6"/>
  <c r="CM166" i="6"/>
  <c r="CL166" i="6"/>
  <c r="CK166" i="6"/>
  <c r="CG166" i="6"/>
  <c r="BV166" i="6"/>
  <c r="BT166" i="6"/>
  <c r="BS166" i="6"/>
  <c r="BR166" i="6"/>
  <c r="BQ166" i="6"/>
  <c r="BO166" i="6"/>
  <c r="BN166" i="6"/>
  <c r="BM166" i="6"/>
  <c r="BJ166" i="6"/>
  <c r="BI166" i="6"/>
  <c r="AV166" i="6"/>
  <c r="AU166" i="6"/>
  <c r="AS166" i="6"/>
  <c r="AQ166" i="6"/>
  <c r="AP166" i="6"/>
  <c r="AO166" i="6"/>
  <c r="AN166" i="6"/>
  <c r="AM166" i="6"/>
  <c r="AL166" i="6"/>
  <c r="AK166" i="6"/>
  <c r="AH166" i="6"/>
  <c r="DH165" i="6"/>
  <c r="DD166" i="6"/>
  <c r="DC166" i="6"/>
  <c r="DA166" i="6"/>
  <c r="CY166" i="6"/>
  <c r="CX166" i="6"/>
  <c r="CW166" i="6"/>
  <c r="CS166" i="6"/>
  <c r="CP166" i="6"/>
  <c r="CN166" i="6"/>
  <c r="CJ166" i="6"/>
  <c r="CI166" i="6"/>
  <c r="CH166" i="6"/>
  <c r="CF166" i="6"/>
  <c r="CE166" i="6"/>
  <c r="CD166" i="6"/>
  <c r="CC166" i="6"/>
  <c r="CB166" i="6"/>
  <c r="CA166" i="6"/>
  <c r="BZ166" i="6"/>
  <c r="BY166" i="6"/>
  <c r="BX166" i="6"/>
  <c r="BW166" i="6"/>
  <c r="BU166" i="6"/>
  <c r="BP166" i="6"/>
  <c r="BL166" i="6"/>
  <c r="BK166" i="6"/>
  <c r="BH166" i="6"/>
  <c r="BG166" i="6"/>
  <c r="BF166" i="6"/>
  <c r="BE166" i="6"/>
  <c r="BD166" i="6"/>
  <c r="BC166" i="6"/>
  <c r="BB166" i="6"/>
  <c r="BA166" i="6"/>
  <c r="AZ166" i="6"/>
  <c r="AY166" i="6"/>
  <c r="AX166" i="6"/>
  <c r="AW166" i="6"/>
  <c r="AT166" i="6"/>
  <c r="AR166" i="6"/>
  <c r="AJ166" i="6"/>
  <c r="AI166" i="6"/>
  <c r="AG166" i="6"/>
  <c r="AF166" i="6"/>
  <c r="AE166" i="6"/>
  <c r="AC166" i="6"/>
  <c r="DH163" i="6"/>
  <c r="A163" i="6"/>
  <c r="DH161" i="6"/>
  <c r="CZ160" i="6"/>
  <c r="CY160" i="6"/>
  <c r="CX160" i="6"/>
  <c r="CW160" i="6"/>
  <c r="CV160" i="6"/>
  <c r="CU160" i="6"/>
  <c r="CT160" i="6"/>
  <c r="CQ160" i="6"/>
  <c r="CO160" i="6"/>
  <c r="CM160" i="6"/>
  <c r="CK160" i="6"/>
  <c r="CJ160" i="6"/>
  <c r="CB160" i="6"/>
  <c r="CA160" i="6"/>
  <c r="BZ160" i="6"/>
  <c r="BY160" i="6"/>
  <c r="BW160" i="6"/>
  <c r="BV160" i="6"/>
  <c r="BS160" i="6"/>
  <c r="BQ160" i="6"/>
  <c r="BO160" i="6"/>
  <c r="BM160" i="6"/>
  <c r="BL160" i="6"/>
  <c r="BJ160" i="6"/>
  <c r="BD160" i="6"/>
  <c r="BC160" i="6"/>
  <c r="BB160" i="6"/>
  <c r="BA160" i="6"/>
  <c r="AY160" i="6"/>
  <c r="AU160" i="6"/>
  <c r="AN160" i="6"/>
  <c r="AL160" i="6"/>
  <c r="AF160" i="6"/>
  <c r="AE160" i="6"/>
  <c r="AD160" i="6"/>
  <c r="AC160" i="6"/>
  <c r="AA160" i="6"/>
  <c r="Z160" i="6"/>
  <c r="W160" i="6"/>
  <c r="K160" i="6"/>
  <c r="DH159" i="6"/>
  <c r="DF160" i="6"/>
  <c r="DE160" i="6"/>
  <c r="DD160" i="6"/>
  <c r="DC160" i="6"/>
  <c r="DB160" i="6"/>
  <c r="DA160" i="6"/>
  <c r="CS160" i="6"/>
  <c r="CR160" i="6"/>
  <c r="CP160" i="6"/>
  <c r="CN160" i="6"/>
  <c r="CL160" i="6"/>
  <c r="CI160" i="6"/>
  <c r="CH160" i="6"/>
  <c r="CG160" i="6"/>
  <c r="CF160" i="6"/>
  <c r="CE160" i="6"/>
  <c r="CD160" i="6"/>
  <c r="CC160" i="6"/>
  <c r="BX160" i="6"/>
  <c r="BU160" i="6"/>
  <c r="BT160" i="6"/>
  <c r="BR160" i="6"/>
  <c r="BP160" i="6"/>
  <c r="BN160" i="6"/>
  <c r="BK160" i="6"/>
  <c r="BI160" i="6"/>
  <c r="BH160" i="6"/>
  <c r="BG160" i="6"/>
  <c r="BF160" i="6"/>
  <c r="BE160" i="6"/>
  <c r="AZ160" i="6"/>
  <c r="AX160" i="6"/>
  <c r="AW160" i="6"/>
  <c r="AV160" i="6"/>
  <c r="AT160" i="6"/>
  <c r="AS160" i="6"/>
  <c r="AR160" i="6"/>
  <c r="AQ160" i="6"/>
  <c r="AP160" i="6"/>
  <c r="AO160" i="6"/>
  <c r="AM160" i="6"/>
  <c r="AK160" i="6"/>
  <c r="AJ160" i="6"/>
  <c r="AI160" i="6"/>
  <c r="AH160" i="6"/>
  <c r="AG160" i="6"/>
  <c r="AB160" i="6"/>
  <c r="Y160" i="6"/>
  <c r="X160" i="6"/>
  <c r="V160" i="6"/>
  <c r="U160" i="6"/>
  <c r="T160" i="6"/>
  <c r="S160" i="6"/>
  <c r="R160" i="6"/>
  <c r="Q160" i="6"/>
  <c r="P160" i="6"/>
  <c r="O160" i="6"/>
  <c r="N160" i="6"/>
  <c r="M160" i="6"/>
  <c r="L160" i="6"/>
  <c r="J160" i="6"/>
  <c r="DD157" i="6"/>
  <c r="DB157" i="6"/>
  <c r="CR157" i="6"/>
  <c r="CQ157" i="6"/>
  <c r="CO157" i="6"/>
  <c r="CN157" i="6"/>
  <c r="CM157" i="6"/>
  <c r="CL157" i="6"/>
  <c r="CK157" i="6"/>
  <c r="CJ157" i="6"/>
  <c r="CI157" i="6"/>
  <c r="CD157" i="6"/>
  <c r="CB157" i="6"/>
  <c r="BZ157" i="6"/>
  <c r="BV157" i="6"/>
  <c r="BU157" i="6"/>
  <c r="BT157" i="6"/>
  <c r="BS157" i="6"/>
  <c r="BQ157" i="6"/>
  <c r="BP157" i="6"/>
  <c r="BO157" i="6"/>
  <c r="BN157" i="6"/>
  <c r="BM157" i="6"/>
  <c r="BL157" i="6"/>
  <c r="BH157" i="6"/>
  <c r="BF157" i="6"/>
  <c r="AY157" i="6"/>
  <c r="AT157" i="6"/>
  <c r="AS157" i="6"/>
  <c r="AR157" i="6"/>
  <c r="AP157" i="6"/>
  <c r="AN157" i="6"/>
  <c r="AF157" i="6"/>
  <c r="AD157" i="6"/>
  <c r="AA157" i="6"/>
  <c r="Z157" i="6"/>
  <c r="Y157" i="6"/>
  <c r="X157" i="6"/>
  <c r="W157" i="6"/>
  <c r="V157" i="6"/>
  <c r="U157" i="6"/>
  <c r="T157" i="6"/>
  <c r="R157" i="6"/>
  <c r="Q157" i="6"/>
  <c r="P157" i="6"/>
  <c r="DH156" i="6"/>
  <c r="DF157" i="6"/>
  <c r="DE157" i="6"/>
  <c r="DC157" i="6"/>
  <c r="DA157" i="6"/>
  <c r="CZ157" i="6"/>
  <c r="CY157" i="6"/>
  <c r="CX157" i="6"/>
  <c r="CW157" i="6"/>
  <c r="CV157" i="6"/>
  <c r="CU157" i="6"/>
  <c r="CT157" i="6"/>
  <c r="CS157" i="6"/>
  <c r="CP157" i="6"/>
  <c r="CH157" i="6"/>
  <c r="CG157" i="6"/>
  <c r="CF157" i="6"/>
  <c r="CE157" i="6"/>
  <c r="CC157" i="6"/>
  <c r="CA157" i="6"/>
  <c r="BY157" i="6"/>
  <c r="BX157" i="6"/>
  <c r="BW157" i="6"/>
  <c r="BR157" i="6"/>
  <c r="BK157" i="6"/>
  <c r="BJ157" i="6"/>
  <c r="BI157" i="6"/>
  <c r="BG157" i="6"/>
  <c r="BE157" i="6"/>
  <c r="BD157" i="6"/>
  <c r="BC157" i="6"/>
  <c r="BB157" i="6"/>
  <c r="BA157" i="6"/>
  <c r="AZ157" i="6"/>
  <c r="AX157" i="6"/>
  <c r="AW157" i="6"/>
  <c r="AV157" i="6"/>
  <c r="AU157" i="6"/>
  <c r="AQ157" i="6"/>
  <c r="AO157" i="6"/>
  <c r="AM157" i="6"/>
  <c r="AL157" i="6"/>
  <c r="AK157" i="6"/>
  <c r="AJ157" i="6"/>
  <c r="AI157" i="6"/>
  <c r="AH157" i="6"/>
  <c r="AG157" i="6"/>
  <c r="AE157" i="6"/>
  <c r="AC157" i="6"/>
  <c r="AB157" i="6"/>
  <c r="S157" i="6"/>
  <c r="O157" i="6"/>
  <c r="N157" i="6"/>
  <c r="M157" i="6"/>
  <c r="L157" i="6"/>
  <c r="K157" i="6"/>
  <c r="DH154" i="6"/>
  <c r="DH152" i="6"/>
  <c r="CZ151" i="6"/>
  <c r="CX151" i="6"/>
  <c r="CV151" i="6"/>
  <c r="CU151" i="6"/>
  <c r="DH150" i="6"/>
  <c r="DF151" i="6"/>
  <c r="DE151" i="6"/>
  <c r="DD151" i="6"/>
  <c r="DC151" i="6"/>
  <c r="DB151" i="6"/>
  <c r="DA151" i="6"/>
  <c r="CY151" i="6"/>
  <c r="CW151" i="6"/>
  <c r="DH149" i="6"/>
  <c r="DE148" i="6"/>
  <c r="CW148" i="6"/>
  <c r="CT148" i="6"/>
  <c r="DC148" i="6"/>
  <c r="DH146" i="6"/>
  <c r="DA148" i="6"/>
  <c r="CZ148" i="6"/>
  <c r="CY148" i="6"/>
  <c r="CX148" i="6"/>
  <c r="CV148" i="6"/>
  <c r="CU148" i="6"/>
  <c r="DH145" i="6"/>
  <c r="A145" i="6"/>
  <c r="DH143" i="6"/>
  <c r="CX142" i="6"/>
  <c r="CU142" i="6"/>
  <c r="CK142" i="6"/>
  <c r="CI142" i="6"/>
  <c r="CE142" i="6"/>
  <c r="CD142" i="6"/>
  <c r="BZ142" i="6"/>
  <c r="BM142" i="6"/>
  <c r="BI142" i="6"/>
  <c r="BH142" i="6"/>
  <c r="BG142" i="6"/>
  <c r="BF142" i="6"/>
  <c r="BC142" i="6"/>
  <c r="BB142" i="6"/>
  <c r="AO142" i="6"/>
  <c r="AM142" i="6"/>
  <c r="AK142" i="6"/>
  <c r="AJ142" i="6"/>
  <c r="AI142" i="6"/>
  <c r="AH142" i="6"/>
  <c r="AG142" i="6"/>
  <c r="AE142" i="6"/>
  <c r="AD142" i="6"/>
  <c r="CY142" i="6"/>
  <c r="CV142" i="6"/>
  <c r="CT142" i="6"/>
  <c r="CP142" i="6"/>
  <c r="CA142" i="6"/>
  <c r="BX142" i="6"/>
  <c r="BV142" i="6"/>
  <c r="AZ142" i="6"/>
  <c r="AX142" i="6"/>
  <c r="DD142" i="6"/>
  <c r="DC142" i="6"/>
  <c r="DB142" i="6"/>
  <c r="DA142" i="6"/>
  <c r="CZ142" i="6"/>
  <c r="CW142" i="6"/>
  <c r="CS142" i="6"/>
  <c r="CR142" i="6"/>
  <c r="CQ142" i="6"/>
  <c r="CO142" i="6"/>
  <c r="CN142" i="6"/>
  <c r="CJ142" i="6"/>
  <c r="CF142" i="6"/>
  <c r="CC142" i="6"/>
  <c r="CB142" i="6"/>
  <c r="BY142" i="6"/>
  <c r="BW142" i="6"/>
  <c r="BU142" i="6"/>
  <c r="BT142" i="6"/>
  <c r="BS142" i="6"/>
  <c r="BR142" i="6"/>
  <c r="BQ142" i="6"/>
  <c r="BL142" i="6"/>
  <c r="BK142" i="6"/>
  <c r="BE142" i="6"/>
  <c r="BD142" i="6"/>
  <c r="BA142" i="6"/>
  <c r="AY142" i="6"/>
  <c r="AW142" i="6"/>
  <c r="AV142" i="6"/>
  <c r="AU142" i="6"/>
  <c r="AS142" i="6"/>
  <c r="AN142" i="6"/>
  <c r="AL142" i="6"/>
  <c r="AF142" i="6"/>
  <c r="AC142" i="6"/>
  <c r="DB139" i="6"/>
  <c r="DA139" i="6"/>
  <c r="CZ139" i="6"/>
  <c r="CY139" i="6"/>
  <c r="CW139" i="6"/>
  <c r="CV139" i="6"/>
  <c r="CU139" i="6"/>
  <c r="CS139" i="6"/>
  <c r="CQ139" i="6"/>
  <c r="CJ139" i="6"/>
  <c r="BY139" i="6"/>
  <c r="BV139" i="6"/>
  <c r="BU139" i="6"/>
  <c r="BT139" i="6"/>
  <c r="BP139" i="6"/>
  <c r="BO139" i="6"/>
  <c r="BF139" i="6"/>
  <c r="BE139" i="6"/>
  <c r="BA139" i="6"/>
  <c r="AZ139" i="6"/>
  <c r="AY139" i="6"/>
  <c r="AX139" i="6"/>
  <c r="AW139" i="6"/>
  <c r="AV139" i="6"/>
  <c r="AU139" i="6"/>
  <c r="AS139" i="6"/>
  <c r="AR139" i="6"/>
  <c r="AQ139" i="6"/>
  <c r="AI139" i="6"/>
  <c r="AD139" i="6"/>
  <c r="AC139" i="6"/>
  <c r="CX139" i="6"/>
  <c r="BZ139" i="6"/>
  <c r="BW139" i="6"/>
  <c r="BB139" i="6"/>
  <c r="AT139" i="6"/>
  <c r="DF139" i="6"/>
  <c r="DD139" i="6"/>
  <c r="DC139" i="6"/>
  <c r="CT139" i="6"/>
  <c r="CR139" i="6"/>
  <c r="CP139" i="6"/>
  <c r="CO139" i="6"/>
  <c r="CN139" i="6"/>
  <c r="CM139" i="6"/>
  <c r="CL139" i="6"/>
  <c r="CK139" i="6"/>
  <c r="CI139" i="6"/>
  <c r="CH139" i="6"/>
  <c r="CF139" i="6"/>
  <c r="CE139" i="6"/>
  <c r="CD139" i="6"/>
  <c r="CC139" i="6"/>
  <c r="CB139" i="6"/>
  <c r="CA139" i="6"/>
  <c r="BX139" i="6"/>
  <c r="BS139" i="6"/>
  <c r="BR139" i="6"/>
  <c r="BQ139" i="6"/>
  <c r="BN139" i="6"/>
  <c r="BM139" i="6"/>
  <c r="BL139" i="6"/>
  <c r="BK139" i="6"/>
  <c r="BJ139" i="6"/>
  <c r="BH139" i="6"/>
  <c r="BG139" i="6"/>
  <c r="BD139" i="6"/>
  <c r="BC139" i="6"/>
  <c r="AP139" i="6"/>
  <c r="AO139" i="6"/>
  <c r="AN139" i="6"/>
  <c r="AM139" i="6"/>
  <c r="AL139" i="6"/>
  <c r="AK139" i="6"/>
  <c r="AJ139" i="6"/>
  <c r="AH139" i="6"/>
  <c r="AG139" i="6"/>
  <c r="AF139" i="6"/>
  <c r="DH136" i="6"/>
  <c r="A136" i="6"/>
  <c r="DH134" i="6"/>
  <c r="CX133" i="6"/>
  <c r="CW133" i="6"/>
  <c r="CU133" i="6"/>
  <c r="CT133" i="6"/>
  <c r="CQ133" i="6"/>
  <c r="CM133" i="6"/>
  <c r="CI133" i="6"/>
  <c r="CB133" i="6"/>
  <c r="BZ133" i="6"/>
  <c r="BY133" i="6"/>
  <c r="BV133" i="6"/>
  <c r="CY133" i="6"/>
  <c r="CV133" i="6"/>
  <c r="CO133" i="6"/>
  <c r="CL133" i="6"/>
  <c r="CH133" i="6"/>
  <c r="CA133" i="6"/>
  <c r="BX133" i="6"/>
  <c r="DF133" i="6"/>
  <c r="DE133" i="6"/>
  <c r="DD133" i="6"/>
  <c r="DC133" i="6"/>
  <c r="DB133" i="6"/>
  <c r="DA133" i="6"/>
  <c r="CZ133" i="6"/>
  <c r="CS133" i="6"/>
  <c r="CR133" i="6"/>
  <c r="CK133" i="6"/>
  <c r="CJ133" i="6"/>
  <c r="CG133" i="6"/>
  <c r="CF133" i="6"/>
  <c r="CE133" i="6"/>
  <c r="CD133" i="6"/>
  <c r="CC133" i="6"/>
  <c r="BW133" i="6"/>
  <c r="DF130" i="6"/>
  <c r="DE130" i="6"/>
  <c r="DB130" i="6"/>
  <c r="CZ130" i="6"/>
  <c r="CV130" i="6"/>
  <c r="CQ130" i="6"/>
  <c r="CL130" i="6"/>
  <c r="CJ130" i="6"/>
  <c r="CI130" i="6"/>
  <c r="CH130" i="6"/>
  <c r="CG130" i="6"/>
  <c r="CD130" i="6"/>
  <c r="BZ130" i="6"/>
  <c r="BY130" i="6"/>
  <c r="DA130" i="6"/>
  <c r="CY130" i="6"/>
  <c r="CU130" i="6"/>
  <c r="CR130" i="6"/>
  <c r="CN130" i="6"/>
  <c r="CC130" i="6"/>
  <c r="DD130" i="6"/>
  <c r="DC130" i="6"/>
  <c r="CP130" i="6"/>
  <c r="CM130" i="6"/>
  <c r="CK130" i="6"/>
  <c r="DH128" i="6"/>
  <c r="CE130" i="6"/>
  <c r="CB130" i="6"/>
  <c r="CA130" i="6"/>
  <c r="DH127" i="6"/>
  <c r="A127" i="6"/>
  <c r="DH125" i="6"/>
  <c r="DE124" i="6"/>
  <c r="DB124" i="6"/>
  <c r="CZ124" i="6"/>
  <c r="CY124" i="6"/>
  <c r="CX124" i="6"/>
  <c r="CI124" i="6"/>
  <c r="CG124" i="6"/>
  <c r="CF124" i="6"/>
  <c r="CD124" i="6"/>
  <c r="CC124" i="6"/>
  <c r="CB124" i="6"/>
  <c r="CA124" i="6"/>
  <c r="BQ124" i="6"/>
  <c r="BK124" i="6"/>
  <c r="BI124" i="6"/>
  <c r="BH124" i="6"/>
  <c r="BG124" i="6"/>
  <c r="BF124" i="6"/>
  <c r="BE124" i="6"/>
  <c r="BD124" i="6"/>
  <c r="BC124" i="6"/>
  <c r="BB124" i="6"/>
  <c r="DD124" i="6"/>
  <c r="DC124" i="6"/>
  <c r="CS124" i="6"/>
  <c r="CO124" i="6"/>
  <c r="CK124" i="6"/>
  <c r="CJ124" i="6"/>
  <c r="CE124" i="6"/>
  <c r="BZ124" i="6"/>
  <c r="BU124" i="6"/>
  <c r="BM124" i="6"/>
  <c r="BL124" i="6"/>
  <c r="DH123" i="6"/>
  <c r="DF124" i="6"/>
  <c r="DA124" i="6"/>
  <c r="CW124" i="6"/>
  <c r="CV124" i="6"/>
  <c r="CU124" i="6"/>
  <c r="CP124" i="6"/>
  <c r="CL124" i="6"/>
  <c r="CH124" i="6"/>
  <c r="BY124" i="6"/>
  <c r="BX124" i="6"/>
  <c r="BW124" i="6"/>
  <c r="BR124" i="6"/>
  <c r="BN124" i="6"/>
  <c r="BJ124" i="6"/>
  <c r="BA124" i="6"/>
  <c r="AZ124" i="6"/>
  <c r="AY124" i="6"/>
  <c r="DF121" i="6"/>
  <c r="DE121" i="6"/>
  <c r="DA121" i="6"/>
  <c r="CN121" i="6"/>
  <c r="CK121" i="6"/>
  <c r="CJ121" i="6"/>
  <c r="CH121" i="6"/>
  <c r="CD121" i="6"/>
  <c r="CC121" i="6"/>
  <c r="BY121" i="6"/>
  <c r="BX121" i="6"/>
  <c r="BS121" i="6"/>
  <c r="BP121" i="6"/>
  <c r="BO121" i="6"/>
  <c r="BM121" i="6"/>
  <c r="BJ121" i="6"/>
  <c r="BE121" i="6"/>
  <c r="BD121" i="6"/>
  <c r="BA121" i="6"/>
  <c r="AZ121" i="6"/>
  <c r="DD121" i="6"/>
  <c r="CZ121" i="6"/>
  <c r="CR121" i="6"/>
  <c r="CQ121" i="6"/>
  <c r="CM121" i="6"/>
  <c r="CL121" i="6"/>
  <c r="CG121" i="6"/>
  <c r="CF121" i="6"/>
  <c r="CB121" i="6"/>
  <c r="BT121" i="6"/>
  <c r="BN121" i="6"/>
  <c r="DC121" i="6"/>
  <c r="DB121" i="6"/>
  <c r="CY121" i="6"/>
  <c r="CX121" i="6"/>
  <c r="CW121" i="6"/>
  <c r="CV121" i="6"/>
  <c r="CS121" i="6"/>
  <c r="CP121" i="6"/>
  <c r="CO121" i="6"/>
  <c r="CI121" i="6"/>
  <c r="CE121" i="6"/>
  <c r="CA121" i="6"/>
  <c r="BZ121" i="6"/>
  <c r="BU121" i="6"/>
  <c r="BR121" i="6"/>
  <c r="BQ121" i="6"/>
  <c r="BL121" i="6"/>
  <c r="BK121" i="6"/>
  <c r="BH121" i="6"/>
  <c r="BG121" i="6"/>
  <c r="BF121" i="6"/>
  <c r="BC121" i="6"/>
  <c r="BB121" i="6"/>
  <c r="AY121" i="6"/>
  <c r="AX121" i="6"/>
  <c r="DH118" i="6"/>
  <c r="A118" i="6"/>
  <c r="DB115" i="6"/>
  <c r="DA115" i="6"/>
  <c r="CZ115" i="6"/>
  <c r="CY115" i="6"/>
  <c r="CX115" i="6"/>
  <c r="CW115" i="6"/>
  <c r="CV115" i="6"/>
  <c r="CS115" i="6"/>
  <c r="CR115" i="6"/>
  <c r="CM115" i="6"/>
  <c r="CB115" i="6"/>
  <c r="CA115" i="6"/>
  <c r="BZ115" i="6"/>
  <c r="BY115" i="6"/>
  <c r="BX115" i="6"/>
  <c r="BT115" i="6"/>
  <c r="BS115" i="6"/>
  <c r="BO115" i="6"/>
  <c r="BL115" i="6"/>
  <c r="BK115" i="6"/>
  <c r="BV115" i="6"/>
  <c r="BR115" i="6"/>
  <c r="DF115" i="6"/>
  <c r="DE115" i="6"/>
  <c r="DD115" i="6"/>
  <c r="DC115" i="6"/>
  <c r="CU115" i="6"/>
  <c r="CQ115" i="6"/>
  <c r="CO115" i="6"/>
  <c r="CN115" i="6"/>
  <c r="CL115" i="6"/>
  <c r="CI115" i="6"/>
  <c r="CH115" i="6"/>
  <c r="CG115" i="6"/>
  <c r="CF115" i="6"/>
  <c r="CE115" i="6"/>
  <c r="CD115" i="6"/>
  <c r="CC115" i="6"/>
  <c r="BW115" i="6"/>
  <c r="BU115" i="6"/>
  <c r="BQ115" i="6"/>
  <c r="BN115" i="6"/>
  <c r="DH113" i="6"/>
  <c r="DC112" i="6"/>
  <c r="CZ112" i="6"/>
  <c r="CY112" i="6"/>
  <c r="CR112" i="6"/>
  <c r="CQ112" i="6"/>
  <c r="CP112" i="6"/>
  <c r="CN112" i="6"/>
  <c r="CJ112" i="6"/>
  <c r="CE112" i="6"/>
  <c r="CD112" i="6"/>
  <c r="BM112" i="6"/>
  <c r="BL112" i="6"/>
  <c r="CK112" i="6"/>
  <c r="CB112" i="6"/>
  <c r="BS112" i="6"/>
  <c r="DF112" i="6"/>
  <c r="DE112" i="6"/>
  <c r="DD112" i="6"/>
  <c r="DB112" i="6"/>
  <c r="CW112" i="6"/>
  <c r="CU112" i="6"/>
  <c r="CT112" i="6"/>
  <c r="CS112" i="6"/>
  <c r="CO112" i="6"/>
  <c r="CM112" i="6"/>
  <c r="CI112" i="6"/>
  <c r="CH112" i="6"/>
  <c r="CG112" i="6"/>
  <c r="CF112" i="6"/>
  <c r="CA112" i="6"/>
  <c r="BY112" i="6"/>
  <c r="BW112" i="6"/>
  <c r="BV112" i="6"/>
  <c r="BU112" i="6"/>
  <c r="BT112" i="6"/>
  <c r="BR112" i="6"/>
  <c r="BQ112" i="6"/>
  <c r="BP112" i="6"/>
  <c r="BO112" i="6"/>
  <c r="BK112" i="6"/>
  <c r="DH109" i="6"/>
  <c r="A109" i="6"/>
  <c r="DF106" i="6"/>
  <c r="DE106" i="6"/>
  <c r="DD106" i="6"/>
  <c r="DB106" i="6"/>
  <c r="DA106" i="6"/>
  <c r="CZ106" i="6"/>
  <c r="CW106" i="6"/>
  <c r="CT106" i="6"/>
  <c r="CS106" i="6"/>
  <c r="CJ106" i="6"/>
  <c r="CI106" i="6"/>
  <c r="CH106" i="6"/>
  <c r="CG106" i="6"/>
  <c r="CB106" i="6"/>
  <c r="CA106" i="6"/>
  <c r="BV106" i="6"/>
  <c r="BU106" i="6"/>
  <c r="BL106" i="6"/>
  <c r="BK106" i="6"/>
  <c r="BF106" i="6"/>
  <c r="BD106" i="6"/>
  <c r="BC106" i="6"/>
  <c r="BA106" i="6"/>
  <c r="AX106" i="6"/>
  <c r="AW106" i="6"/>
  <c r="CY106" i="6"/>
  <c r="BY106" i="6"/>
  <c r="BP106" i="6"/>
  <c r="BM106" i="6"/>
  <c r="BE106" i="6"/>
  <c r="DC106" i="6"/>
  <c r="CX106" i="6"/>
  <c r="CV106" i="6"/>
  <c r="CU106" i="6"/>
  <c r="CR106" i="6"/>
  <c r="CQ106" i="6"/>
  <c r="CO106" i="6"/>
  <c r="CM106" i="6"/>
  <c r="CL106" i="6"/>
  <c r="CF106" i="6"/>
  <c r="CE106" i="6"/>
  <c r="CD106" i="6"/>
  <c r="BZ106" i="6"/>
  <c r="BX106" i="6"/>
  <c r="BW106" i="6"/>
  <c r="BT106" i="6"/>
  <c r="BS106" i="6"/>
  <c r="BQ106" i="6"/>
  <c r="BO106" i="6"/>
  <c r="BN106" i="6"/>
  <c r="BJ106" i="6"/>
  <c r="BI106" i="6"/>
  <c r="BH106" i="6"/>
  <c r="BG106" i="6"/>
  <c r="BB106" i="6"/>
  <c r="AZ106" i="6"/>
  <c r="AY106" i="6"/>
  <c r="DF103" i="6"/>
  <c r="DA103" i="6"/>
  <c r="CT103" i="6"/>
  <c r="CO103" i="6"/>
  <c r="CH103" i="6"/>
  <c r="CF103" i="6"/>
  <c r="CD103" i="6"/>
  <c r="CB103" i="6"/>
  <c r="CA103" i="6"/>
  <c r="BV103" i="6"/>
  <c r="BJ103" i="6"/>
  <c r="BI103" i="6"/>
  <c r="BH103" i="6"/>
  <c r="BG103" i="6"/>
  <c r="BE103" i="6"/>
  <c r="BC103" i="6"/>
  <c r="AX103" i="6"/>
  <c r="DD103" i="6"/>
  <c r="CU103" i="6"/>
  <c r="CN103" i="6"/>
  <c r="BW103" i="6"/>
  <c r="BQ103" i="6"/>
  <c r="BP103" i="6"/>
  <c r="BA103" i="6"/>
  <c r="DE103" i="6"/>
  <c r="DC103" i="6"/>
  <c r="DB103" i="6"/>
  <c r="CZ103" i="6"/>
  <c r="CY103" i="6"/>
  <c r="CX103" i="6"/>
  <c r="CS103" i="6"/>
  <c r="CR103" i="6"/>
  <c r="CL103" i="6"/>
  <c r="CK103" i="6"/>
  <c r="CJ103" i="6"/>
  <c r="CI103" i="6"/>
  <c r="CG103" i="6"/>
  <c r="CE103" i="6"/>
  <c r="CC103" i="6"/>
  <c r="BZ103" i="6"/>
  <c r="BU103" i="6"/>
  <c r="BN103" i="6"/>
  <c r="BM103" i="6"/>
  <c r="BL103" i="6"/>
  <c r="BK103" i="6"/>
  <c r="BF103" i="6"/>
  <c r="BD103" i="6"/>
  <c r="BB103" i="6"/>
  <c r="AW103" i="6"/>
  <c r="DH100" i="6"/>
  <c r="A100" i="6"/>
  <c r="DH98" i="6"/>
  <c r="DE97" i="6"/>
  <c r="DD97" i="6"/>
  <c r="DB97" i="6"/>
  <c r="DA97" i="6"/>
  <c r="CO97" i="6"/>
  <c r="CJ97" i="6"/>
  <c r="CD97" i="6"/>
  <c r="CC97" i="6"/>
  <c r="BX97" i="6"/>
  <c r="DC97" i="6"/>
  <c r="CN97" i="6"/>
  <c r="CI97" i="6"/>
  <c r="CG97" i="6"/>
  <c r="CF97" i="6"/>
  <c r="CE97" i="6"/>
  <c r="DH96" i="6"/>
  <c r="CZ97" i="6"/>
  <c r="CY97" i="6"/>
  <c r="CX97" i="6"/>
  <c r="CW97" i="6"/>
  <c r="CV97" i="6"/>
  <c r="CU97" i="6"/>
  <c r="CQ97" i="6"/>
  <c r="CP97" i="6"/>
  <c r="CM97" i="6"/>
  <c r="CL97" i="6"/>
  <c r="CK97" i="6"/>
  <c r="CB97" i="6"/>
  <c r="CA97" i="6"/>
  <c r="BZ97" i="6"/>
  <c r="BY97" i="6"/>
  <c r="BW97" i="6"/>
  <c r="DC94" i="6"/>
  <c r="DB94" i="6"/>
  <c r="CS94" i="6"/>
  <c r="CQ94" i="6"/>
  <c r="CO94" i="6"/>
  <c r="CN94" i="6"/>
  <c r="CM94" i="6"/>
  <c r="CL94" i="6"/>
  <c r="CK94" i="6"/>
  <c r="CJ94" i="6"/>
  <c r="CH94" i="6"/>
  <c r="CE94" i="6"/>
  <c r="CD94" i="6"/>
  <c r="DF94" i="6"/>
  <c r="DE94" i="6"/>
  <c r="DD94" i="6"/>
  <c r="CI94" i="6"/>
  <c r="CG94" i="6"/>
  <c r="CF94" i="6"/>
  <c r="DH93" i="6"/>
  <c r="CY94" i="6"/>
  <c r="CW94" i="6"/>
  <c r="CV94" i="6"/>
  <c r="CT94" i="6"/>
  <c r="CR94" i="6"/>
  <c r="CP94" i="6"/>
  <c r="CA94" i="6"/>
  <c r="BY94" i="6"/>
  <c r="BX94" i="6"/>
  <c r="BV94" i="6"/>
  <c r="BU94" i="6"/>
  <c r="BT94" i="6"/>
  <c r="DH91" i="6"/>
  <c r="A91" i="6"/>
  <c r="DF88" i="6"/>
  <c r="DE88" i="6"/>
  <c r="DC88" i="6"/>
  <c r="DA88" i="6"/>
  <c r="CZ88" i="6"/>
  <c r="CW88" i="6"/>
  <c r="CS88" i="6"/>
  <c r="CL88" i="6"/>
  <c r="CK88" i="6"/>
  <c r="CJ88" i="6"/>
  <c r="CG88" i="6"/>
  <c r="CD88" i="6"/>
  <c r="CC88" i="6"/>
  <c r="CB88" i="6"/>
  <c r="CA88" i="6"/>
  <c r="BP88" i="6"/>
  <c r="BO88" i="6"/>
  <c r="BN88" i="6"/>
  <c r="BM88" i="6"/>
  <c r="BL88" i="6"/>
  <c r="BK88" i="6"/>
  <c r="BJ88" i="6"/>
  <c r="DB88" i="6"/>
  <c r="CY88" i="6"/>
  <c r="CN88" i="6"/>
  <c r="CH88" i="6"/>
  <c r="BU88" i="6"/>
  <c r="BI88" i="6"/>
  <c r="DD88" i="6"/>
  <c r="CX88" i="6"/>
  <c r="CV88" i="6"/>
  <c r="CU88" i="6"/>
  <c r="CT88" i="6"/>
  <c r="CM88" i="6"/>
  <c r="CI88" i="6"/>
  <c r="CF88" i="6"/>
  <c r="CE88" i="6"/>
  <c r="BZ88" i="6"/>
  <c r="BY88" i="6"/>
  <c r="BX88" i="6"/>
  <c r="BW88" i="6"/>
  <c r="BV88" i="6"/>
  <c r="BH88" i="6"/>
  <c r="BG88" i="6"/>
  <c r="DB85" i="6"/>
  <c r="DA85" i="6"/>
  <c r="CZ85" i="6"/>
  <c r="CY85" i="6"/>
  <c r="CX85" i="6"/>
  <c r="CW85" i="6"/>
  <c r="CV85" i="6"/>
  <c r="CU85" i="6"/>
  <c r="CR85" i="6"/>
  <c r="CQ85" i="6"/>
  <c r="CP85" i="6"/>
  <c r="CB85" i="6"/>
  <c r="BY85" i="6"/>
  <c r="BW85" i="6"/>
  <c r="BT85" i="6"/>
  <c r="BS85" i="6"/>
  <c r="CI85" i="6"/>
  <c r="CE85" i="6"/>
  <c r="BX85" i="6"/>
  <c r="BV85" i="6"/>
  <c r="BR85" i="6"/>
  <c r="DH84" i="6"/>
  <c r="DD85" i="6"/>
  <c r="CS85" i="6"/>
  <c r="CO85" i="6"/>
  <c r="CN85" i="6"/>
  <c r="CM85" i="6"/>
  <c r="CL85" i="6"/>
  <c r="CK85" i="6"/>
  <c r="CJ85" i="6"/>
  <c r="CF85" i="6"/>
  <c r="CD85" i="6"/>
  <c r="BZ85" i="6"/>
  <c r="BU85" i="6"/>
  <c r="BQ85" i="6"/>
  <c r="BP85" i="6"/>
  <c r="BO85" i="6"/>
  <c r="BN85" i="6"/>
  <c r="BM85" i="6"/>
  <c r="BL85" i="6"/>
  <c r="BH85" i="6"/>
  <c r="DH82" i="6"/>
  <c r="A82" i="6"/>
  <c r="DH81" i="6"/>
  <c r="DC79" i="6"/>
  <c r="DA79" i="6"/>
  <c r="CZ79" i="6"/>
  <c r="CX79" i="6"/>
  <c r="CU79" i="6"/>
  <c r="CR79" i="6"/>
  <c r="CA79" i="6"/>
  <c r="BT79" i="6"/>
  <c r="BN79" i="6"/>
  <c r="BM79" i="6"/>
  <c r="BJ79" i="6"/>
  <c r="BE79" i="6"/>
  <c r="AY79" i="6"/>
  <c r="AV79" i="6"/>
  <c r="AO79" i="6"/>
  <c r="AI79" i="6"/>
  <c r="AG79" i="6"/>
  <c r="X79" i="6"/>
  <c r="DD79" i="6"/>
  <c r="DB79" i="6"/>
  <c r="CY79" i="6"/>
  <c r="CS79" i="6"/>
  <c r="CG79" i="6"/>
  <c r="BZ79" i="6"/>
  <c r="BU79" i="6"/>
  <c r="BI79" i="6"/>
  <c r="BG79" i="6"/>
  <c r="BF79" i="6"/>
  <c r="BC79" i="6"/>
  <c r="BB79" i="6"/>
  <c r="AW79" i="6"/>
  <c r="AK79" i="6"/>
  <c r="AJ79" i="6"/>
  <c r="AH79" i="6"/>
  <c r="AE79" i="6"/>
  <c r="AD79" i="6"/>
  <c r="Y79" i="6"/>
  <c r="DF79" i="6"/>
  <c r="CV79" i="6"/>
  <c r="CT79" i="6"/>
  <c r="CQ79" i="6"/>
  <c r="CP79" i="6"/>
  <c r="CO79" i="6"/>
  <c r="CN79" i="6"/>
  <c r="CM79" i="6"/>
  <c r="CL79" i="6"/>
  <c r="CK79" i="6"/>
  <c r="CI79" i="6"/>
  <c r="CH79" i="6"/>
  <c r="CE79" i="6"/>
  <c r="CC79" i="6"/>
  <c r="CB79" i="6"/>
  <c r="BX79" i="6"/>
  <c r="BW79" i="6"/>
  <c r="BV79" i="6"/>
  <c r="BS79" i="6"/>
  <c r="BR79" i="6"/>
  <c r="BQ79" i="6"/>
  <c r="BP79" i="6"/>
  <c r="BO79" i="6"/>
  <c r="BK79" i="6"/>
  <c r="BD79" i="6"/>
  <c r="AZ79" i="6"/>
  <c r="AX79" i="6"/>
  <c r="AU79" i="6"/>
  <c r="AT79" i="6"/>
  <c r="AS79" i="6"/>
  <c r="AR79" i="6"/>
  <c r="AQ79" i="6"/>
  <c r="AP79" i="6"/>
  <c r="AM79" i="6"/>
  <c r="AL79" i="6"/>
  <c r="AF79" i="6"/>
  <c r="AB79" i="6"/>
  <c r="AA79" i="6"/>
  <c r="Z79" i="6"/>
  <c r="DE76" i="6"/>
  <c r="CY76" i="6"/>
  <c r="CS76" i="6"/>
  <c r="CO76" i="6"/>
  <c r="CI76" i="6"/>
  <c r="CD76" i="6"/>
  <c r="CC76" i="6"/>
  <c r="CB76" i="6"/>
  <c r="CA76" i="6"/>
  <c r="BZ76" i="6"/>
  <c r="BW76" i="6"/>
  <c r="BK76" i="6"/>
  <c r="BE76" i="6"/>
  <c r="BD76" i="6"/>
  <c r="BC76" i="6"/>
  <c r="BA76" i="6"/>
  <c r="AS76" i="6"/>
  <c r="AI76" i="6"/>
  <c r="AH76" i="6"/>
  <c r="AG76" i="6"/>
  <c r="AF76" i="6"/>
  <c r="AE76" i="6"/>
  <c r="AC76" i="6"/>
  <c r="AB76" i="6"/>
  <c r="AA76" i="6"/>
  <c r="DA76" i="6"/>
  <c r="CZ76" i="6"/>
  <c r="CU76" i="6"/>
  <c r="CT76" i="6"/>
  <c r="CP76" i="6"/>
  <c r="CM76" i="6"/>
  <c r="CG76" i="6"/>
  <c r="BX76" i="6"/>
  <c r="BV76" i="6"/>
  <c r="BO76" i="6"/>
  <c r="BI76" i="6"/>
  <c r="AZ76" i="6"/>
  <c r="AY76" i="6"/>
  <c r="AX76" i="6"/>
  <c r="AT76" i="6"/>
  <c r="AK76" i="6"/>
  <c r="Z76" i="6"/>
  <c r="Y76" i="6"/>
  <c r="DF76" i="6"/>
  <c r="DD76" i="6"/>
  <c r="DC76" i="6"/>
  <c r="DB76" i="6"/>
  <c r="CX76" i="6"/>
  <c r="CW76" i="6"/>
  <c r="CV76" i="6"/>
  <c r="CK76" i="6"/>
  <c r="CJ76" i="6"/>
  <c r="CH76" i="6"/>
  <c r="CF76" i="6"/>
  <c r="CE76" i="6"/>
  <c r="BY76" i="6"/>
  <c r="BQ76" i="6"/>
  <c r="BM76" i="6"/>
  <c r="BL76" i="6"/>
  <c r="BJ76" i="6"/>
  <c r="BH76" i="6"/>
  <c r="BG76" i="6"/>
  <c r="BF76" i="6"/>
  <c r="BB76" i="6"/>
  <c r="AO76" i="6"/>
  <c r="AN76" i="6"/>
  <c r="AM76" i="6"/>
  <c r="AL76" i="6"/>
  <c r="AJ76" i="6"/>
  <c r="AD76" i="6"/>
  <c r="W76" i="6"/>
  <c r="DH73" i="6"/>
  <c r="A73" i="6"/>
  <c r="CR70" i="6"/>
  <c r="CQ70" i="6"/>
  <c r="CP70" i="6"/>
  <c r="CO70" i="6"/>
  <c r="CK70" i="6"/>
  <c r="BT70" i="6"/>
  <c r="BQ70" i="6"/>
  <c r="BM70" i="6"/>
  <c r="BG70" i="6"/>
  <c r="BF70" i="6"/>
  <c r="BA70" i="6"/>
  <c r="AV70" i="6"/>
  <c r="AU70" i="6"/>
  <c r="AS70" i="6"/>
  <c r="AR70" i="6"/>
  <c r="AO70" i="6"/>
  <c r="CX70" i="6"/>
  <c r="CW70" i="6"/>
  <c r="CV70" i="6"/>
  <c r="BZ70" i="6"/>
  <c r="BY70" i="6"/>
  <c r="BS70" i="6"/>
  <c r="BB70" i="6"/>
  <c r="AZ70" i="6"/>
  <c r="AQ70" i="6"/>
  <c r="DF70" i="6"/>
  <c r="DE70" i="6"/>
  <c r="DD70" i="6"/>
  <c r="DC70" i="6"/>
  <c r="DB70" i="6"/>
  <c r="DA70" i="6"/>
  <c r="CZ70" i="6"/>
  <c r="CU70" i="6"/>
  <c r="CN70" i="6"/>
  <c r="CL70" i="6"/>
  <c r="CJ70" i="6"/>
  <c r="CI70" i="6"/>
  <c r="CH70" i="6"/>
  <c r="CG70" i="6"/>
  <c r="CF70" i="6"/>
  <c r="CE70" i="6"/>
  <c r="CC70" i="6"/>
  <c r="CB70" i="6"/>
  <c r="CA70" i="6"/>
  <c r="BW70" i="6"/>
  <c r="BR70" i="6"/>
  <c r="BP70" i="6"/>
  <c r="BN70" i="6"/>
  <c r="BL70" i="6"/>
  <c r="BK70" i="6"/>
  <c r="BJ70" i="6"/>
  <c r="BI70" i="6"/>
  <c r="BH70" i="6"/>
  <c r="BE70" i="6"/>
  <c r="AY70" i="6"/>
  <c r="AT70" i="6"/>
  <c r="AP70" i="6"/>
  <c r="AN70" i="6"/>
  <c r="AM70" i="6"/>
  <c r="AL70" i="6"/>
  <c r="AK70" i="6"/>
  <c r="AJ70" i="6"/>
  <c r="AI70" i="6"/>
  <c r="AG70" i="6"/>
  <c r="AF70" i="6"/>
  <c r="AE70" i="6"/>
  <c r="AD70" i="6"/>
  <c r="AC70" i="6"/>
  <c r="CR67" i="6"/>
  <c r="CQ67" i="6"/>
  <c r="CO67" i="6"/>
  <c r="CN67" i="6"/>
  <c r="CM67" i="6"/>
  <c r="BW67" i="6"/>
  <c r="BT67" i="6"/>
  <c r="BO67" i="6"/>
  <c r="BH67" i="6"/>
  <c r="BA67" i="6"/>
  <c r="AZ67" i="6"/>
  <c r="AY67" i="6"/>
  <c r="AX67" i="6"/>
  <c r="AV67" i="6"/>
  <c r="AU67" i="6"/>
  <c r="AS67" i="6"/>
  <c r="AN67" i="6"/>
  <c r="AC67" i="6"/>
  <c r="CY67" i="6"/>
  <c r="CW67" i="6"/>
  <c r="CV67" i="6"/>
  <c r="CU67" i="6"/>
  <c r="CT67" i="6"/>
  <c r="CS67" i="6"/>
  <c r="CP67" i="6"/>
  <c r="CA67" i="6"/>
  <c r="BY67" i="6"/>
  <c r="BX67" i="6"/>
  <c r="BV67" i="6"/>
  <c r="BU67" i="6"/>
  <c r="BC67" i="6"/>
  <c r="AW67" i="6"/>
  <c r="AT67" i="6"/>
  <c r="DF67" i="6"/>
  <c r="DE67" i="6"/>
  <c r="DD67" i="6"/>
  <c r="DC67" i="6"/>
  <c r="DB67" i="6"/>
  <c r="DA67" i="6"/>
  <c r="CX67" i="6"/>
  <c r="CL67" i="6"/>
  <c r="CK67" i="6"/>
  <c r="CJ67" i="6"/>
  <c r="CI67" i="6"/>
  <c r="CH67" i="6"/>
  <c r="CG67" i="6"/>
  <c r="CF67" i="6"/>
  <c r="CE67" i="6"/>
  <c r="CD67" i="6"/>
  <c r="BZ67" i="6"/>
  <c r="BS67" i="6"/>
  <c r="BQ67" i="6"/>
  <c r="BP67" i="6"/>
  <c r="BN67" i="6"/>
  <c r="BM67" i="6"/>
  <c r="BL67" i="6"/>
  <c r="BK67" i="6"/>
  <c r="BJ67" i="6"/>
  <c r="BI67" i="6"/>
  <c r="BG67" i="6"/>
  <c r="BF67" i="6"/>
  <c r="BB67" i="6"/>
  <c r="AR67" i="6"/>
  <c r="AQ67" i="6"/>
  <c r="AP67" i="6"/>
  <c r="AO67" i="6"/>
  <c r="AM67" i="6"/>
  <c r="AL67" i="6"/>
  <c r="AK67" i="6"/>
  <c r="AJ67" i="6"/>
  <c r="AI67" i="6"/>
  <c r="AH67" i="6"/>
  <c r="AE67" i="6"/>
  <c r="AD67" i="6"/>
  <c r="DH64" i="6"/>
  <c r="A64" i="6"/>
  <c r="DF61" i="6"/>
  <c r="DE61" i="6"/>
  <c r="CY61" i="6"/>
  <c r="CO61" i="6"/>
  <c r="CN61" i="6"/>
  <c r="CD61" i="6"/>
  <c r="CA61" i="6"/>
  <c r="BZ61" i="6"/>
  <c r="BT61" i="6"/>
  <c r="BQ61" i="6"/>
  <c r="BP61" i="6"/>
  <c r="BM61" i="6"/>
  <c r="BK61" i="6"/>
  <c r="AV61" i="6"/>
  <c r="AT61" i="6"/>
  <c r="AS61" i="6"/>
  <c r="AR61" i="6"/>
  <c r="AQ61" i="6"/>
  <c r="AP61" i="6"/>
  <c r="AO61" i="6"/>
  <c r="AN61" i="6"/>
  <c r="AM61" i="6"/>
  <c r="AL61" i="6"/>
  <c r="AE61" i="6"/>
  <c r="DD61" i="6"/>
  <c r="DC61" i="6"/>
  <c r="DB61" i="6"/>
  <c r="CX61" i="6"/>
  <c r="CL61" i="6"/>
  <c r="CK61" i="6"/>
  <c r="CJ61" i="6"/>
  <c r="CI61" i="6"/>
  <c r="CH61" i="6"/>
  <c r="CG61" i="6"/>
  <c r="CF61" i="6"/>
  <c r="CE61" i="6"/>
  <c r="BL61" i="6"/>
  <c r="BJ61" i="6"/>
  <c r="BI61" i="6"/>
  <c r="BG61" i="6"/>
  <c r="BF61" i="6"/>
  <c r="BC61" i="6"/>
  <c r="AK61" i="6"/>
  <c r="AI61" i="6"/>
  <c r="CW61" i="6"/>
  <c r="CV61" i="6"/>
  <c r="CU61" i="6"/>
  <c r="CT61" i="6"/>
  <c r="CS61" i="6"/>
  <c r="CR61" i="6"/>
  <c r="CQ61" i="6"/>
  <c r="CP61" i="6"/>
  <c r="CM61" i="6"/>
  <c r="BY61" i="6"/>
  <c r="BX61" i="6"/>
  <c r="BW61" i="6"/>
  <c r="BV61" i="6"/>
  <c r="BU61" i="6"/>
  <c r="BS61" i="6"/>
  <c r="BR61" i="6"/>
  <c r="BO61" i="6"/>
  <c r="BN61" i="6"/>
  <c r="BA61" i="6"/>
  <c r="AZ61" i="6"/>
  <c r="AY61" i="6"/>
  <c r="AX61" i="6"/>
  <c r="AW61" i="6"/>
  <c r="AU61" i="6"/>
  <c r="AC61" i="6"/>
  <c r="AB61" i="6"/>
  <c r="AA61" i="6"/>
  <c r="Z61" i="6"/>
  <c r="Y61" i="6"/>
  <c r="X61" i="6"/>
  <c r="W61" i="6"/>
  <c r="CV58" i="6"/>
  <c r="CU58" i="6"/>
  <c r="CT58" i="6"/>
  <c r="CK58" i="6"/>
  <c r="CA58" i="6"/>
  <c r="BW58" i="6"/>
  <c r="BV58" i="6"/>
  <c r="BR58" i="6"/>
  <c r="BP58" i="6"/>
  <c r="AZ58" i="6"/>
  <c r="AY58" i="6"/>
  <c r="AX58" i="6"/>
  <c r="AW58" i="6"/>
  <c r="AV58" i="6"/>
  <c r="AU58" i="6"/>
  <c r="AT58" i="6"/>
  <c r="AS58" i="6"/>
  <c r="AR58" i="6"/>
  <c r="AQ58" i="6"/>
  <c r="AA58" i="6"/>
  <c r="Z58" i="6"/>
  <c r="X58" i="6"/>
  <c r="W58" i="6"/>
  <c r="V58" i="6"/>
  <c r="DE58" i="6"/>
  <c r="DD58" i="6"/>
  <c r="CR58" i="6"/>
  <c r="CQ58" i="6"/>
  <c r="CP58" i="6"/>
  <c r="CO58" i="6"/>
  <c r="CN58" i="6"/>
  <c r="CM58" i="6"/>
  <c r="CL58" i="6"/>
  <c r="CJ58" i="6"/>
  <c r="CG58" i="6"/>
  <c r="CF58" i="6"/>
  <c r="BS58" i="6"/>
  <c r="BQ58" i="6"/>
  <c r="BN58" i="6"/>
  <c r="BI58" i="6"/>
  <c r="AN58" i="6"/>
  <c r="AJ58" i="6"/>
  <c r="DH57" i="6"/>
  <c r="DB58" i="6"/>
  <c r="DA58" i="6"/>
  <c r="CZ58" i="6"/>
  <c r="CY58" i="6"/>
  <c r="CX58" i="6"/>
  <c r="CW58" i="6"/>
  <c r="CS58" i="6"/>
  <c r="CD58" i="6"/>
  <c r="CC58" i="6"/>
  <c r="CB58" i="6"/>
  <c r="BZ58" i="6"/>
  <c r="BY58" i="6"/>
  <c r="BX58" i="6"/>
  <c r="BU58" i="6"/>
  <c r="BT58" i="6"/>
  <c r="BO58" i="6"/>
  <c r="BF58" i="6"/>
  <c r="BE58" i="6"/>
  <c r="BD58" i="6"/>
  <c r="BC58" i="6"/>
  <c r="BB58" i="6"/>
  <c r="BA58" i="6"/>
  <c r="AP58" i="6"/>
  <c r="AH58" i="6"/>
  <c r="AG58" i="6"/>
  <c r="AF58" i="6"/>
  <c r="AE58" i="6"/>
  <c r="AD58" i="6"/>
  <c r="AC58" i="6"/>
  <c r="AB58" i="6"/>
  <c r="DH56" i="6"/>
  <c r="DH55" i="6"/>
  <c r="A55" i="6"/>
  <c r="DH53" i="6"/>
  <c r="DD52" i="6"/>
  <c r="CY52" i="6"/>
  <c r="CT52" i="6"/>
  <c r="CK52" i="6"/>
  <c r="CJ52" i="6"/>
  <c r="CF52" i="6"/>
  <c r="CA52" i="6"/>
  <c r="BZ52" i="6"/>
  <c r="BY52" i="6"/>
  <c r="BU52" i="6"/>
  <c r="BR52" i="6"/>
  <c r="BP52" i="6"/>
  <c r="BH52" i="6"/>
  <c r="BG52" i="6"/>
  <c r="BC52" i="6"/>
  <c r="BB52" i="6"/>
  <c r="BA52" i="6"/>
  <c r="AY52" i="6"/>
  <c r="AX52" i="6"/>
  <c r="AW52" i="6"/>
  <c r="AV52" i="6"/>
  <c r="AU52" i="6"/>
  <c r="AT52" i="6"/>
  <c r="AS52" i="6"/>
  <c r="AR52" i="6"/>
  <c r="AO52" i="6"/>
  <c r="AJ52" i="6"/>
  <c r="AI52" i="6"/>
  <c r="AE52" i="6"/>
  <c r="AD52" i="6"/>
  <c r="AC52" i="6"/>
  <c r="AA52" i="6"/>
  <c r="Y52" i="6"/>
  <c r="X52" i="6"/>
  <c r="W52" i="6"/>
  <c r="V52" i="6"/>
  <c r="U52" i="6"/>
  <c r="T52" i="6"/>
  <c r="S52" i="6"/>
  <c r="P52" i="6"/>
  <c r="L52" i="6"/>
  <c r="K52" i="6"/>
  <c r="DC52" i="6"/>
  <c r="CX52" i="6"/>
  <c r="CW52" i="6"/>
  <c r="DH51" i="6"/>
  <c r="CE52" i="6"/>
  <c r="BW52" i="6"/>
  <c r="DF52" i="6"/>
  <c r="DB52" i="6"/>
  <c r="DA52" i="6"/>
  <c r="CZ52" i="6"/>
  <c r="CV52" i="6"/>
  <c r="CU52" i="6"/>
  <c r="CS52" i="6"/>
  <c r="CR52" i="6"/>
  <c r="CQ52" i="6"/>
  <c r="CP52" i="6"/>
  <c r="CO52" i="6"/>
  <c r="CN52" i="6"/>
  <c r="CM52" i="6"/>
  <c r="CL52" i="6"/>
  <c r="CH52" i="6"/>
  <c r="CG52" i="6"/>
  <c r="CD52" i="6"/>
  <c r="CC52" i="6"/>
  <c r="CB52" i="6"/>
  <c r="BX52" i="6"/>
  <c r="BV52" i="6"/>
  <c r="BT52" i="6"/>
  <c r="BS52" i="6"/>
  <c r="BQ52" i="6"/>
  <c r="BO52" i="6"/>
  <c r="BN52" i="6"/>
  <c r="BM52" i="6"/>
  <c r="BL52" i="6"/>
  <c r="BK52" i="6"/>
  <c r="BJ52" i="6"/>
  <c r="BI52" i="6"/>
  <c r="BF52" i="6"/>
  <c r="BE52" i="6"/>
  <c r="BD52" i="6"/>
  <c r="AZ52" i="6"/>
  <c r="AQ52" i="6"/>
  <c r="AP52" i="6"/>
  <c r="AN52" i="6"/>
  <c r="AM52" i="6"/>
  <c r="AL52" i="6"/>
  <c r="AK52" i="6"/>
  <c r="AH52" i="6"/>
  <c r="AG52" i="6"/>
  <c r="AF52" i="6"/>
  <c r="AB52" i="6"/>
  <c r="Z52" i="6"/>
  <c r="R52" i="6"/>
  <c r="Q52" i="6"/>
  <c r="O52" i="6"/>
  <c r="N52" i="6"/>
  <c r="M52" i="6"/>
  <c r="J52" i="6"/>
  <c r="I52" i="6"/>
  <c r="H52" i="6"/>
  <c r="DD49" i="6"/>
  <c r="DA49" i="6"/>
  <c r="CP49" i="6"/>
  <c r="CO49" i="6"/>
  <c r="CK49" i="6"/>
  <c r="CF49" i="6"/>
  <c r="CE49" i="6"/>
  <c r="CD49" i="6"/>
  <c r="BW49" i="6"/>
  <c r="BU49" i="6"/>
  <c r="BM49" i="6"/>
  <c r="BL49" i="6"/>
  <c r="BH49" i="6"/>
  <c r="BG49" i="6"/>
  <c r="BF49" i="6"/>
  <c r="BD49" i="6"/>
  <c r="BB49" i="6"/>
  <c r="BA49" i="6"/>
  <c r="AZ49" i="6"/>
  <c r="AY49" i="6"/>
  <c r="AX49" i="6"/>
  <c r="AW49" i="6"/>
  <c r="AT49" i="6"/>
  <c r="AP49" i="6"/>
  <c r="AO49" i="6"/>
  <c r="AN49" i="6"/>
  <c r="AJ49" i="6"/>
  <c r="AI49" i="6"/>
  <c r="AH49" i="6"/>
  <c r="AF49" i="6"/>
  <c r="AD49" i="6"/>
  <c r="AC49" i="6"/>
  <c r="AB49" i="6"/>
  <c r="AA49" i="6"/>
  <c r="Z49" i="6"/>
  <c r="Y49" i="6"/>
  <c r="X49" i="6"/>
  <c r="Q49" i="6"/>
  <c r="P49" i="6"/>
  <c r="L49" i="6"/>
  <c r="K49" i="6"/>
  <c r="J49" i="6"/>
  <c r="H49" i="6"/>
  <c r="DC49" i="6"/>
  <c r="DB49" i="6"/>
  <c r="CY49" i="6"/>
  <c r="CJ49" i="6"/>
  <c r="CB49" i="6"/>
  <c r="BZ49" i="6"/>
  <c r="DF49" i="6"/>
  <c r="DE49" i="6"/>
  <c r="CW49" i="6"/>
  <c r="CV49" i="6"/>
  <c r="CU49" i="6"/>
  <c r="CT49" i="6"/>
  <c r="CS49" i="6"/>
  <c r="CR49" i="6"/>
  <c r="CQ49" i="6"/>
  <c r="CN49" i="6"/>
  <c r="CM49" i="6"/>
  <c r="CL49" i="6"/>
  <c r="CI49" i="6"/>
  <c r="CH49" i="6"/>
  <c r="CG49" i="6"/>
  <c r="CA49" i="6"/>
  <c r="BY49" i="6"/>
  <c r="BX49" i="6"/>
  <c r="BV49" i="6"/>
  <c r="BT49" i="6"/>
  <c r="BS49" i="6"/>
  <c r="BR49" i="6"/>
  <c r="BQ49" i="6"/>
  <c r="BP49" i="6"/>
  <c r="BO49" i="6"/>
  <c r="BN49" i="6"/>
  <c r="BK49" i="6"/>
  <c r="BJ49" i="6"/>
  <c r="BI49" i="6"/>
  <c r="BE49" i="6"/>
  <c r="BC49" i="6"/>
  <c r="AV49" i="6"/>
  <c r="AU49" i="6"/>
  <c r="AS49" i="6"/>
  <c r="AR49" i="6"/>
  <c r="AQ49" i="6"/>
  <c r="AM49" i="6"/>
  <c r="AL49" i="6"/>
  <c r="AK49" i="6"/>
  <c r="AG49" i="6"/>
  <c r="AE49" i="6"/>
  <c r="W49" i="6"/>
  <c r="V49" i="6"/>
  <c r="U49" i="6"/>
  <c r="M49" i="6"/>
  <c r="DH46" i="6"/>
  <c r="A46" i="6"/>
  <c r="DH44" i="6"/>
  <c r="CV43" i="6"/>
  <c r="CU43" i="6"/>
  <c r="CS43" i="6"/>
  <c r="CR43" i="6"/>
  <c r="CQ43" i="6"/>
  <c r="CM43" i="6"/>
  <c r="CG43" i="6"/>
  <c r="CF43" i="6"/>
  <c r="CC43" i="6"/>
  <c r="BY43" i="6"/>
  <c r="BW43" i="6"/>
  <c r="BH43" i="6"/>
  <c r="BG43" i="6"/>
  <c r="BF43" i="6"/>
  <c r="BE43" i="6"/>
  <c r="BB43" i="6"/>
  <c r="BA43" i="6"/>
  <c r="AZ43" i="6"/>
  <c r="AY43" i="6"/>
  <c r="AX43" i="6"/>
  <c r="AU43" i="6"/>
  <c r="AQ43" i="6"/>
  <c r="DE43" i="6"/>
  <c r="DD43" i="6"/>
  <c r="DC43" i="6"/>
  <c r="DA43" i="6"/>
  <c r="CZ43" i="6"/>
  <c r="CY43" i="6"/>
  <c r="CX43" i="6"/>
  <c r="CE43" i="6"/>
  <c r="CD43" i="6"/>
  <c r="CB43" i="6"/>
  <c r="CA43" i="6"/>
  <c r="BZ43" i="6"/>
  <c r="BI43" i="6"/>
  <c r="BD43" i="6"/>
  <c r="BC43" i="6"/>
  <c r="AK43" i="6"/>
  <c r="AJ43" i="6"/>
  <c r="AI43" i="6"/>
  <c r="AH43" i="6"/>
  <c r="AG43" i="6"/>
  <c r="DB43" i="6"/>
  <c r="CW43" i="6"/>
  <c r="CT43" i="6"/>
  <c r="CP43" i="6"/>
  <c r="CO43" i="6"/>
  <c r="CN43" i="6"/>
  <c r="CL43" i="6"/>
  <c r="CK43" i="6"/>
  <c r="CJ43" i="6"/>
  <c r="CI43" i="6"/>
  <c r="BX43" i="6"/>
  <c r="BV43" i="6"/>
  <c r="BU43" i="6"/>
  <c r="BT43" i="6"/>
  <c r="BS43" i="6"/>
  <c r="BR43" i="6"/>
  <c r="BQ43" i="6"/>
  <c r="BP43" i="6"/>
  <c r="BO43" i="6"/>
  <c r="BN43" i="6"/>
  <c r="BM43" i="6"/>
  <c r="BL43" i="6"/>
  <c r="BK43" i="6"/>
  <c r="AW43" i="6"/>
  <c r="AV43" i="6"/>
  <c r="AT43" i="6"/>
  <c r="AS43" i="6"/>
  <c r="AR43" i="6"/>
  <c r="AP43" i="6"/>
  <c r="AO43" i="6"/>
  <c r="AN43" i="6"/>
  <c r="AM43" i="6"/>
  <c r="CZ40" i="6"/>
  <c r="CR40" i="6"/>
  <c r="CQ40" i="6"/>
  <c r="CM40" i="6"/>
  <c r="CH40" i="6"/>
  <c r="CE40" i="6"/>
  <c r="CC40" i="6"/>
  <c r="CB40" i="6"/>
  <c r="BT40" i="6"/>
  <c r="BS40" i="6"/>
  <c r="BP40" i="6"/>
  <c r="BO40" i="6"/>
  <c r="BK40" i="6"/>
  <c r="BJ40" i="6"/>
  <c r="BI40" i="6"/>
  <c r="BG40" i="6"/>
  <c r="BF40" i="6"/>
  <c r="BD40" i="6"/>
  <c r="BB40" i="6"/>
  <c r="AZ40" i="6"/>
  <c r="AM40" i="6"/>
  <c r="AL40" i="6"/>
  <c r="AJ40" i="6"/>
  <c r="AI40" i="6"/>
  <c r="AH40" i="6"/>
  <c r="DF40" i="6"/>
  <c r="DE40" i="6"/>
  <c r="DA40" i="6"/>
  <c r="CN40" i="6"/>
  <c r="CG40" i="6"/>
  <c r="BH40" i="6"/>
  <c r="BE40" i="6"/>
  <c r="AR40" i="6"/>
  <c r="AQ40" i="6"/>
  <c r="AK40" i="6"/>
  <c r="AG40" i="6"/>
  <c r="DD40" i="6"/>
  <c r="DC40" i="6"/>
  <c r="DB40" i="6"/>
  <c r="CX40" i="6"/>
  <c r="CW40" i="6"/>
  <c r="CV40" i="6"/>
  <c r="CU40" i="6"/>
  <c r="CT40" i="6"/>
  <c r="CS40" i="6"/>
  <c r="CP40" i="6"/>
  <c r="CL40" i="6"/>
  <c r="CJ40" i="6"/>
  <c r="CF40" i="6"/>
  <c r="CD40" i="6"/>
  <c r="BZ40" i="6"/>
  <c r="BY40" i="6"/>
  <c r="BX40" i="6"/>
  <c r="BW40" i="6"/>
  <c r="BV40" i="6"/>
  <c r="BU40" i="6"/>
  <c r="BR40" i="6"/>
  <c r="BN40" i="6"/>
  <c r="BL40" i="6"/>
  <c r="BA40" i="6"/>
  <c r="AY40" i="6"/>
  <c r="AX40" i="6"/>
  <c r="AW40" i="6"/>
  <c r="AV40" i="6"/>
  <c r="AU40" i="6"/>
  <c r="AT40" i="6"/>
  <c r="AP40" i="6"/>
  <c r="AN40" i="6"/>
  <c r="DH37" i="6"/>
  <c r="A37" i="6"/>
  <c r="DH35" i="6"/>
  <c r="DC34" i="6"/>
  <c r="CZ34" i="6"/>
  <c r="CX34" i="6"/>
  <c r="CU34" i="6"/>
  <c r="CJ34" i="6"/>
  <c r="CF34" i="6"/>
  <c r="CE34" i="6"/>
  <c r="CC34" i="6"/>
  <c r="CB34" i="6"/>
  <c r="BZ34" i="6"/>
  <c r="BW34" i="6"/>
  <c r="BV34" i="6"/>
  <c r="BQ34" i="6"/>
  <c r="BD34" i="6"/>
  <c r="BB34" i="6"/>
  <c r="AZ34" i="6"/>
  <c r="AY34" i="6"/>
  <c r="AX34" i="6"/>
  <c r="DE34" i="6"/>
  <c r="CY34" i="6"/>
  <c r="CT34" i="6"/>
  <c r="CA34" i="6"/>
  <c r="BM34" i="6"/>
  <c r="BC34" i="6"/>
  <c r="DF34" i="6"/>
  <c r="DD34" i="6"/>
  <c r="DB34" i="6"/>
  <c r="CW34" i="6"/>
  <c r="CV34" i="6"/>
  <c r="CS34" i="6"/>
  <c r="CQ34" i="6"/>
  <c r="CP34" i="6"/>
  <c r="CO34" i="6"/>
  <c r="CN34" i="6"/>
  <c r="CK34" i="6"/>
  <c r="CI34" i="6"/>
  <c r="CH34" i="6"/>
  <c r="CD34" i="6"/>
  <c r="BY34" i="6"/>
  <c r="BX34" i="6"/>
  <c r="BU34" i="6"/>
  <c r="BS34" i="6"/>
  <c r="BR34" i="6"/>
  <c r="BP34" i="6"/>
  <c r="BL34" i="6"/>
  <c r="BK34" i="6"/>
  <c r="BJ34" i="6"/>
  <c r="BH34" i="6"/>
  <c r="BG34" i="6"/>
  <c r="BF34" i="6"/>
  <c r="BA34" i="6"/>
  <c r="DC31" i="6"/>
  <c r="DB31" i="6"/>
  <c r="CW31" i="6"/>
  <c r="CU31" i="6"/>
  <c r="CT31" i="6"/>
  <c r="CS31" i="6"/>
  <c r="CK31" i="6"/>
  <c r="CJ31" i="6"/>
  <c r="CE31" i="6"/>
  <c r="BV31" i="6"/>
  <c r="BP31" i="6"/>
  <c r="BM31" i="6"/>
  <c r="BL31" i="6"/>
  <c r="BJ31" i="6"/>
  <c r="BE31" i="6"/>
  <c r="DF31" i="6"/>
  <c r="DD31" i="6"/>
  <c r="DA31" i="6"/>
  <c r="CZ31" i="6"/>
  <c r="CY31" i="6"/>
  <c r="CX31" i="6"/>
  <c r="CB31" i="6"/>
  <c r="CA31" i="6"/>
  <c r="BZ31" i="6"/>
  <c r="BW31" i="6"/>
  <c r="BQ31" i="6"/>
  <c r="BH31" i="6"/>
  <c r="BD31" i="6"/>
  <c r="BC31" i="6"/>
  <c r="AY31" i="6"/>
  <c r="AX31" i="6"/>
  <c r="DE31" i="6"/>
  <c r="CV31" i="6"/>
  <c r="CR31" i="6"/>
  <c r="CQ31" i="6"/>
  <c r="CP31" i="6"/>
  <c r="CN31" i="6"/>
  <c r="CM31" i="6"/>
  <c r="CL31" i="6"/>
  <c r="CI31" i="6"/>
  <c r="CH31" i="6"/>
  <c r="CG31" i="6"/>
  <c r="CD31" i="6"/>
  <c r="BY31" i="6"/>
  <c r="BX31" i="6"/>
  <c r="BU31" i="6"/>
  <c r="BT31" i="6"/>
  <c r="BS31" i="6"/>
  <c r="BR31" i="6"/>
  <c r="BO31" i="6"/>
  <c r="BN31" i="6"/>
  <c r="BK31" i="6"/>
  <c r="BI31" i="6"/>
  <c r="BG31" i="6"/>
  <c r="BF31" i="6"/>
  <c r="BA31" i="6"/>
  <c r="AZ31" i="6"/>
  <c r="AW31" i="6"/>
  <c r="AV31" i="6"/>
  <c r="DH28" i="6"/>
  <c r="A28" i="6"/>
  <c r="DH27" i="6"/>
  <c r="DH26" i="6"/>
  <c r="DF25" i="6"/>
  <c r="DC25" i="6"/>
  <c r="CI25" i="6"/>
  <c r="CH25" i="6"/>
  <c r="CF25" i="6"/>
  <c r="CE25" i="6"/>
  <c r="CB25" i="6"/>
  <c r="BZ25" i="6"/>
  <c r="BN25" i="6"/>
  <c r="BL25" i="6"/>
  <c r="BK25" i="6"/>
  <c r="BJ25" i="6"/>
  <c r="BI25" i="6"/>
  <c r="BH25" i="6"/>
  <c r="BG25" i="6"/>
  <c r="BF25" i="6"/>
  <c r="BE25" i="6"/>
  <c r="BD25" i="6"/>
  <c r="AM25" i="6"/>
  <c r="AL25" i="6"/>
  <c r="AJ25" i="6"/>
  <c r="AI25" i="6"/>
  <c r="AH25" i="6"/>
  <c r="AG25" i="6"/>
  <c r="DA25" i="6"/>
  <c r="CN25" i="6"/>
  <c r="CM25" i="6"/>
  <c r="CL25" i="6"/>
  <c r="CJ25" i="6"/>
  <c r="CG25" i="6"/>
  <c r="BP25" i="6"/>
  <c r="BO25" i="6"/>
  <c r="AR25" i="6"/>
  <c r="AQ25" i="6"/>
  <c r="AP25" i="6"/>
  <c r="AN25" i="6"/>
  <c r="AK25" i="6"/>
  <c r="DH24" i="6"/>
  <c r="DE25" i="6"/>
  <c r="DD25" i="6"/>
  <c r="DB25" i="6"/>
  <c r="CZ25" i="6"/>
  <c r="CX25" i="6"/>
  <c r="CW25" i="6"/>
  <c r="CV25" i="6"/>
  <c r="CU25" i="6"/>
  <c r="CT25" i="6"/>
  <c r="CS25" i="6"/>
  <c r="CR25" i="6"/>
  <c r="CO25" i="6"/>
  <c r="CK25" i="6"/>
  <c r="CD25" i="6"/>
  <c r="CC25" i="6"/>
  <c r="BY25" i="6"/>
  <c r="BX25" i="6"/>
  <c r="BW25" i="6"/>
  <c r="BV25" i="6"/>
  <c r="BU25" i="6"/>
  <c r="BT25" i="6"/>
  <c r="BQ25" i="6"/>
  <c r="BM25" i="6"/>
  <c r="BB25" i="6"/>
  <c r="BA25" i="6"/>
  <c r="AZ25" i="6"/>
  <c r="AY25" i="6"/>
  <c r="AX25" i="6"/>
  <c r="AW25" i="6"/>
  <c r="AV25" i="6"/>
  <c r="AS25" i="6"/>
  <c r="AO25" i="6"/>
  <c r="DB22" i="6"/>
  <c r="DA22" i="6"/>
  <c r="CX22" i="6"/>
  <c r="CV22" i="6"/>
  <c r="CO22" i="6"/>
  <c r="CF22" i="6"/>
  <c r="CE22" i="6"/>
  <c r="CD22" i="6"/>
  <c r="CC22" i="6"/>
  <c r="CB22" i="6"/>
  <c r="CA22" i="6"/>
  <c r="BZ22" i="6"/>
  <c r="BO22" i="6"/>
  <c r="BF22" i="6"/>
  <c r="BE22" i="6"/>
  <c r="BD22" i="6"/>
  <c r="BB22" i="6"/>
  <c r="BA22" i="6"/>
  <c r="AZ22" i="6"/>
  <c r="AS22" i="6"/>
  <c r="AQ22" i="6"/>
  <c r="AH22" i="6"/>
  <c r="AG22" i="6"/>
  <c r="DF22" i="6"/>
  <c r="DD22" i="6"/>
  <c r="DC22" i="6"/>
  <c r="CZ22" i="6"/>
  <c r="CY22" i="6"/>
  <c r="CI22" i="6"/>
  <c r="CH22" i="6"/>
  <c r="BX22" i="6"/>
  <c r="BK22" i="6"/>
  <c r="BJ22" i="6"/>
  <c r="BH22" i="6"/>
  <c r="BC22" i="6"/>
  <c r="AM22" i="6"/>
  <c r="AL22" i="6"/>
  <c r="AJ22" i="6"/>
  <c r="DH21" i="6"/>
  <c r="DE22" i="6"/>
  <c r="CW22" i="6"/>
  <c r="CU22" i="6"/>
  <c r="CT22" i="6"/>
  <c r="CS22" i="6"/>
  <c r="CR22" i="6"/>
  <c r="CQ22" i="6"/>
  <c r="CP22" i="6"/>
  <c r="CN22" i="6"/>
  <c r="CM22" i="6"/>
  <c r="CL22" i="6"/>
  <c r="CK22" i="6"/>
  <c r="CG22" i="6"/>
  <c r="BY22" i="6"/>
  <c r="BW22" i="6"/>
  <c r="BV22" i="6"/>
  <c r="BU22" i="6"/>
  <c r="BT22" i="6"/>
  <c r="BS22" i="6"/>
  <c r="BR22" i="6"/>
  <c r="BQ22" i="6"/>
  <c r="BP22" i="6"/>
  <c r="BN22" i="6"/>
  <c r="BM22" i="6"/>
  <c r="BI22" i="6"/>
  <c r="AY22" i="6"/>
  <c r="AX22" i="6"/>
  <c r="AW22" i="6"/>
  <c r="AV22" i="6"/>
  <c r="AU22" i="6"/>
  <c r="AT22" i="6"/>
  <c r="AR22" i="6"/>
  <c r="AP22" i="6"/>
  <c r="AO22" i="6"/>
  <c r="AK22" i="6"/>
  <c r="A19" i="6"/>
  <c r="DF16" i="6"/>
  <c r="DE16" i="6"/>
  <c r="DD16" i="6"/>
  <c r="DC16" i="6"/>
  <c r="DA16" i="6"/>
  <c r="CX16" i="6"/>
  <c r="CW16" i="6"/>
  <c r="CT16" i="6"/>
  <c r="CR16" i="6"/>
  <c r="CI16" i="6"/>
  <c r="CH16" i="6"/>
  <c r="CG16" i="6"/>
  <c r="CE16" i="6"/>
  <c r="CC16" i="6"/>
  <c r="BZ16" i="6"/>
  <c r="BY16" i="6"/>
  <c r="BK16" i="6"/>
  <c r="BJ16" i="6"/>
  <c r="BI16" i="6"/>
  <c r="BG16" i="6"/>
  <c r="BE16" i="6"/>
  <c r="BB16" i="6"/>
  <c r="BA16" i="6"/>
  <c r="AX16" i="6"/>
  <c r="CZ16" i="6"/>
  <c r="CY16" i="6"/>
  <c r="CB16" i="6"/>
  <c r="CA16" i="6"/>
  <c r="BD16" i="6"/>
  <c r="BC16" i="6"/>
  <c r="DB16" i="6"/>
  <c r="CV16" i="6"/>
  <c r="CS16" i="6"/>
  <c r="CO16" i="6"/>
  <c r="CN16" i="6"/>
  <c r="CL16" i="6"/>
  <c r="CJ16" i="6"/>
  <c r="CF16" i="6"/>
  <c r="CD16" i="6"/>
  <c r="BX16" i="6"/>
  <c r="BV16" i="6"/>
  <c r="BU16" i="6"/>
  <c r="BT16" i="6"/>
  <c r="BQ16" i="6"/>
  <c r="BP16" i="6"/>
  <c r="BN16" i="6"/>
  <c r="BL16" i="6"/>
  <c r="BH16" i="6"/>
  <c r="BF16" i="6"/>
  <c r="AZ16" i="6"/>
  <c r="AW16" i="6"/>
  <c r="DH14" i="6"/>
  <c r="DF13" i="6"/>
  <c r="CM13" i="6"/>
  <c r="CL13" i="6"/>
  <c r="CK13" i="6"/>
  <c r="CJ13" i="6"/>
  <c r="CI13" i="6"/>
  <c r="CH13" i="6"/>
  <c r="CG13" i="6"/>
  <c r="CB13" i="6"/>
  <c r="BM13" i="6"/>
  <c r="BL13" i="6"/>
  <c r="BJ13" i="6"/>
  <c r="DD13" i="6"/>
  <c r="DC13" i="6"/>
  <c r="DB13" i="6"/>
  <c r="DA13" i="6"/>
  <c r="CZ13" i="6"/>
  <c r="CF13" i="6"/>
  <c r="CE13" i="6"/>
  <c r="CD13" i="6"/>
  <c r="CC13" i="6"/>
  <c r="BY13" i="6"/>
  <c r="BH13" i="6"/>
  <c r="BG13" i="6"/>
  <c r="BF13" i="6"/>
  <c r="BE13" i="6"/>
  <c r="BD13" i="6"/>
  <c r="DE13" i="6"/>
  <c r="CY13" i="6"/>
  <c r="CW13" i="6"/>
  <c r="CV13" i="6"/>
  <c r="CU13" i="6"/>
  <c r="CT13" i="6"/>
  <c r="CS13" i="6"/>
  <c r="CR13" i="6"/>
  <c r="CQ13" i="6"/>
  <c r="CP13" i="6"/>
  <c r="CO13" i="6"/>
  <c r="CA13" i="6"/>
  <c r="BX13" i="6"/>
  <c r="BW13" i="6"/>
  <c r="BV13" i="6"/>
  <c r="BU13" i="6"/>
  <c r="BT13" i="6"/>
  <c r="BS13" i="6"/>
  <c r="BR13" i="6"/>
  <c r="BQ13" i="6"/>
  <c r="BO13" i="6"/>
  <c r="BN13" i="6"/>
  <c r="BK13" i="6"/>
  <c r="BI13" i="6"/>
  <c r="BC13" i="6"/>
  <c r="BA13" i="6"/>
  <c r="AZ13" i="6"/>
  <c r="AY13" i="6"/>
  <c r="AX13" i="6"/>
  <c r="AW13" i="6"/>
  <c r="AV13" i="6"/>
  <c r="AU13" i="6"/>
  <c r="DH10" i="6"/>
  <c r="DH8" i="6"/>
  <c r="DE7" i="6"/>
  <c r="DD7" i="6"/>
  <c r="DC7" i="6"/>
  <c r="DB7" i="6"/>
  <c r="DA7" i="6"/>
  <c r="CZ7" i="6"/>
  <c r="CY7" i="6"/>
  <c r="CX7" i="6"/>
  <c r="CU7" i="6"/>
  <c r="CT7" i="6"/>
  <c r="CQ7" i="6"/>
  <c r="CF7" i="6"/>
  <c r="CE7" i="6"/>
  <c r="CD7" i="6"/>
  <c r="BZ7" i="6"/>
  <c r="BS7" i="6"/>
  <c r="BQ7" i="6"/>
  <c r="BI7" i="6"/>
  <c r="BH7" i="6"/>
  <c r="BG7" i="6"/>
  <c r="BF7" i="6"/>
  <c r="BE7" i="6"/>
  <c r="BD7" i="6"/>
  <c r="BC7" i="6"/>
  <c r="BB7" i="6"/>
  <c r="BA7" i="6"/>
  <c r="AZ7" i="6"/>
  <c r="AX7" i="6"/>
  <c r="AU7" i="6"/>
  <c r="AS7" i="6"/>
  <c r="AH7" i="6"/>
  <c r="AF7" i="6"/>
  <c r="AE7" i="6"/>
  <c r="AD7" i="6"/>
  <c r="AB7" i="6"/>
  <c r="Z7" i="6"/>
  <c r="W7" i="6"/>
  <c r="U7" i="6"/>
  <c r="CV7" i="6"/>
  <c r="CO7" i="6"/>
  <c r="CA7" i="6"/>
  <c r="BX7" i="6"/>
  <c r="BV7" i="6"/>
  <c r="DH6" i="6"/>
  <c r="DF7" i="6"/>
  <c r="CW7" i="6"/>
  <c r="CS7" i="6"/>
  <c r="CR7" i="6"/>
  <c r="CP7" i="6"/>
  <c r="CN7" i="6"/>
  <c r="CM7" i="6"/>
  <c r="CK7" i="6"/>
  <c r="CJ7" i="6"/>
  <c r="CI7" i="6"/>
  <c r="CH7" i="6"/>
  <c r="CG7" i="6"/>
  <c r="CC7" i="6"/>
  <c r="CB7" i="6"/>
  <c r="BY7" i="6"/>
  <c r="BW7" i="6"/>
  <c r="BU7" i="6"/>
  <c r="BT7" i="6"/>
  <c r="BR7" i="6"/>
  <c r="BP7" i="6"/>
  <c r="BO7" i="6"/>
  <c r="BM7" i="6"/>
  <c r="BL7" i="6"/>
  <c r="BK7" i="6"/>
  <c r="BJ7" i="6"/>
  <c r="AY7" i="6"/>
  <c r="AW7" i="6"/>
  <c r="AV7" i="6"/>
  <c r="AT7" i="6"/>
  <c r="AR7" i="6"/>
  <c r="AQ7" i="6"/>
  <c r="AP7" i="6"/>
  <c r="AO7" i="6"/>
  <c r="AN7" i="6"/>
  <c r="AM7" i="6"/>
  <c r="AL7" i="6"/>
  <c r="AK7" i="6"/>
  <c r="AJ7" i="6"/>
  <c r="AI7" i="6"/>
  <c r="AG7" i="6"/>
  <c r="AC7" i="6"/>
  <c r="DH5" i="6"/>
  <c r="Y7" i="6"/>
  <c r="X7" i="6"/>
  <c r="V7" i="6"/>
  <c r="DF4" i="6"/>
  <c r="DC4" i="6"/>
  <c r="DB4" i="6"/>
  <c r="CR4" i="6"/>
  <c r="CE4" i="6"/>
  <c r="CD4" i="6"/>
  <c r="CC4" i="6"/>
  <c r="CB4" i="6"/>
  <c r="CA4" i="6"/>
  <c r="BX4" i="6"/>
  <c r="BW4" i="6"/>
  <c r="BT4" i="6"/>
  <c r="BG4" i="6"/>
  <c r="BC4" i="6"/>
  <c r="AZ4" i="6"/>
  <c r="AY4" i="6"/>
  <c r="AV4" i="6"/>
  <c r="AT4" i="6"/>
  <c r="AL4" i="6"/>
  <c r="AI4" i="6"/>
  <c r="AH4" i="6"/>
  <c r="AF4" i="6"/>
  <c r="AE4" i="6"/>
  <c r="AD4" i="6"/>
  <c r="AC4" i="6"/>
  <c r="AA4" i="6"/>
  <c r="X4" i="6"/>
  <c r="V4" i="6"/>
  <c r="CZ4" i="6"/>
  <c r="CY4" i="6"/>
  <c r="CW4" i="6"/>
  <c r="CV4" i="6"/>
  <c r="CU4" i="6"/>
  <c r="CP4" i="6"/>
  <c r="BY4" i="6"/>
  <c r="BR4" i="6"/>
  <c r="BD4" i="6"/>
  <c r="AK4" i="6"/>
  <c r="AJ4" i="6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H19" i="6" l="1"/>
  <c r="R49" i="6"/>
  <c r="R319" i="6" s="1"/>
  <c r="AY103" i="6"/>
  <c r="DH103" i="6" s="1"/>
  <c r="DH102" i="6"/>
  <c r="CD175" i="6"/>
  <c r="DH173" i="6"/>
  <c r="T49" i="6"/>
  <c r="T319" i="6" s="1"/>
  <c r="BE319" i="6"/>
  <c r="DA319" i="6"/>
  <c r="BZ4" i="6"/>
  <c r="BZ319" i="6" s="1"/>
  <c r="AD61" i="6"/>
  <c r="AD319" i="6" s="1"/>
  <c r="BB61" i="6"/>
  <c r="DH77" i="6"/>
  <c r="W79" i="6"/>
  <c r="CH85" i="6"/>
  <c r="DF85" i="6"/>
  <c r="DH169" i="6"/>
  <c r="CF130" i="6"/>
  <c r="AH319" i="6"/>
  <c r="AG4" i="6"/>
  <c r="AG319" i="6" s="1"/>
  <c r="AV16" i="6"/>
  <c r="DH45" i="6"/>
  <c r="DH72" i="6"/>
  <c r="BK85" i="6"/>
  <c r="DH63" i="6"/>
  <c r="DH18" i="6"/>
  <c r="DH39" i="6"/>
  <c r="DH9" i="6"/>
  <c r="DH42" i="6"/>
  <c r="AH61" i="6"/>
  <c r="BX112" i="6"/>
  <c r="CV112" i="6"/>
  <c r="DH160" i="6"/>
  <c r="BB31" i="6"/>
  <c r="DH31" i="6" s="1"/>
  <c r="DH68" i="6"/>
  <c r="DH75" i="6"/>
  <c r="AM4" i="6"/>
  <c r="AM319" i="6" s="1"/>
  <c r="BK4" i="6"/>
  <c r="BK319" i="6" s="1"/>
  <c r="CI319" i="6"/>
  <c r="CI4" i="6"/>
  <c r="DH2" i="6"/>
  <c r="CF4" i="6"/>
  <c r="CF319" i="6" s="1"/>
  <c r="AA7" i="6"/>
  <c r="AA319" i="6" s="1"/>
  <c r="BB13" i="6"/>
  <c r="DH13" i="6" s="1"/>
  <c r="BZ13" i="6"/>
  <c r="CX13" i="6"/>
  <c r="AJ61" i="6"/>
  <c r="BH61" i="6"/>
  <c r="DH69" i="6"/>
  <c r="AC79" i="6"/>
  <c r="BA79" i="6"/>
  <c r="BY79" i="6"/>
  <c r="BY319" i="6" s="1"/>
  <c r="CW79" i="6"/>
  <c r="CW319" i="6" s="1"/>
  <c r="CX94" i="6"/>
  <c r="BZ112" i="6"/>
  <c r="CX112" i="6"/>
  <c r="AO319" i="6"/>
  <c r="AO4" i="6"/>
  <c r="BM4" i="6"/>
  <c r="BM319" i="6" s="1"/>
  <c r="CK319" i="6"/>
  <c r="CK4" i="6"/>
  <c r="CH4" i="6"/>
  <c r="CC31" i="6"/>
  <c r="DH32" i="6"/>
  <c r="AW34" i="6"/>
  <c r="DH65" i="6"/>
  <c r="DH87" i="6"/>
  <c r="BL4" i="6"/>
  <c r="BL319" i="6" s="1"/>
  <c r="AP4" i="6"/>
  <c r="BN4" i="6"/>
  <c r="BN319" i="6" s="1"/>
  <c r="CL4" i="6"/>
  <c r="DH15" i="6"/>
  <c r="CX49" i="6"/>
  <c r="AI58" i="6"/>
  <c r="AI319" i="6" s="1"/>
  <c r="BG58" i="6"/>
  <c r="BG319" i="6" s="1"/>
  <c r="CE58" i="6"/>
  <c r="DC58" i="6"/>
  <c r="DH66" i="6"/>
  <c r="DH89" i="6"/>
  <c r="AZ103" i="6"/>
  <c r="DH104" i="6"/>
  <c r="CC112" i="6"/>
  <c r="DH158" i="6"/>
  <c r="BH58" i="6"/>
  <c r="BH319" i="6" s="1"/>
  <c r="DH62" i="6"/>
  <c r="AR76" i="6"/>
  <c r="CN76" i="6"/>
  <c r="DH122" i="6"/>
  <c r="AX124" i="6"/>
  <c r="BV124" i="6"/>
  <c r="CT124" i="6"/>
  <c r="AQ4" i="6"/>
  <c r="AQ319" i="6" s="1"/>
  <c r="BP4" i="6"/>
  <c r="DH20" i="6"/>
  <c r="CF31" i="6"/>
  <c r="CZ49" i="6"/>
  <c r="DH54" i="6"/>
  <c r="AK58" i="6"/>
  <c r="DH119" i="6"/>
  <c r="DH95" i="6"/>
  <c r="BS97" i="6"/>
  <c r="DH97" i="6" s="1"/>
  <c r="CM4" i="6"/>
  <c r="DH17" i="6"/>
  <c r="AR4" i="6"/>
  <c r="AR319" i="6" s="1"/>
  <c r="BB4" i="6"/>
  <c r="BO16" i="6"/>
  <c r="I49" i="6"/>
  <c r="I319" i="6" s="1"/>
  <c r="DH47" i="6"/>
  <c r="CC49" i="6"/>
  <c r="CC319" i="6" s="1"/>
  <c r="DH194" i="6"/>
  <c r="AN4" i="6"/>
  <c r="AN319" i="6" s="1"/>
  <c r="CG4" i="6"/>
  <c r="BO4" i="6"/>
  <c r="BO319" i="6" s="1"/>
  <c r="CK16" i="6"/>
  <c r="CM16" i="6"/>
  <c r="CM319" i="6" s="1"/>
  <c r="DE52" i="6"/>
  <c r="CX4" i="6"/>
  <c r="CX319" i="6" s="1"/>
  <c r="CH97" i="6"/>
  <c r="CC106" i="6"/>
  <c r="DH140" i="6"/>
  <c r="CI52" i="6"/>
  <c r="DH52" i="6" s="1"/>
  <c r="DH50" i="6"/>
  <c r="BL58" i="6"/>
  <c r="DH3" i="6"/>
  <c r="BA4" i="6"/>
  <c r="BF4" i="6"/>
  <c r="DH11" i="6"/>
  <c r="BR16" i="6"/>
  <c r="CP16" i="6"/>
  <c r="AI22" i="6"/>
  <c r="DH22" i="6" s="1"/>
  <c r="BG22" i="6"/>
  <c r="BC25" i="6"/>
  <c r="CA25" i="6"/>
  <c r="CA319" i="6" s="1"/>
  <c r="CY25" i="6"/>
  <c r="CY319" i="6" s="1"/>
  <c r="AO58" i="6"/>
  <c r="BM58" i="6"/>
  <c r="DH60" i="6"/>
  <c r="BR67" i="6"/>
  <c r="BR319" i="6" s="1"/>
  <c r="DH121" i="6"/>
  <c r="CJ4" i="6"/>
  <c r="CJ319" i="6" s="1"/>
  <c r="BM16" i="6"/>
  <c r="CN4" i="6"/>
  <c r="BE4" i="6"/>
  <c r="DH29" i="6"/>
  <c r="DA4" i="6"/>
  <c r="AU16" i="6"/>
  <c r="BS16" i="6"/>
  <c r="CQ16" i="6"/>
  <c r="BE34" i="6"/>
  <c r="DA34" i="6"/>
  <c r="S319" i="6"/>
  <c r="S49" i="6"/>
  <c r="BI4" i="6"/>
  <c r="BI319" i="6" s="1"/>
  <c r="DH12" i="6"/>
  <c r="BX70" i="6"/>
  <c r="BX319" i="6" s="1"/>
  <c r="CL7" i="6"/>
  <c r="CL319" i="6" s="1"/>
  <c r="DH38" i="6"/>
  <c r="BC40" i="6"/>
  <c r="CA40" i="6"/>
  <c r="CY40" i="6"/>
  <c r="DH180" i="6"/>
  <c r="BH4" i="6"/>
  <c r="BJ4" i="6"/>
  <c r="DD4" i="6"/>
  <c r="BN7" i="6"/>
  <c r="AB4" i="6"/>
  <c r="AB319" i="6" s="1"/>
  <c r="DE4" i="6"/>
  <c r="DE319" i="6" s="1"/>
  <c r="BP13" i="6"/>
  <c r="CN13" i="6"/>
  <c r="AY16" i="6"/>
  <c r="AY319" i="6" s="1"/>
  <c r="BW16" i="6"/>
  <c r="BW319" i="6" s="1"/>
  <c r="CU16" i="6"/>
  <c r="CU319" i="6" s="1"/>
  <c r="AN22" i="6"/>
  <c r="BL22" i="6"/>
  <c r="CJ22" i="6"/>
  <c r="CO31" i="6"/>
  <c r="BI34" i="6"/>
  <c r="CG34" i="6"/>
  <c r="DH48" i="6"/>
  <c r="DH101" i="6"/>
  <c r="AS40" i="6"/>
  <c r="BQ40" i="6"/>
  <c r="CO40" i="6"/>
  <c r="AG67" i="6"/>
  <c r="BE67" i="6"/>
  <c r="CC67" i="6"/>
  <c r="BD70" i="6"/>
  <c r="BG85" i="6"/>
  <c r="DH83" i="6"/>
  <c r="DC85" i="6"/>
  <c r="DH181" i="6"/>
  <c r="DH185" i="6"/>
  <c r="DC319" i="6"/>
  <c r="AT25" i="6"/>
  <c r="DH25" i="6" s="1"/>
  <c r="BR25" i="6"/>
  <c r="CP25" i="6"/>
  <c r="CP319" i="6" s="1"/>
  <c r="DH36" i="6"/>
  <c r="AL43" i="6"/>
  <c r="DH43" i="6" s="1"/>
  <c r="BJ43" i="6"/>
  <c r="BJ319" i="6" s="1"/>
  <c r="CH43" i="6"/>
  <c r="CH319" i="6" s="1"/>
  <c r="DF43" i="6"/>
  <c r="DF319" i="6" s="1"/>
  <c r="N319" i="6"/>
  <c r="N49" i="6"/>
  <c r="DH49" i="6" s="1"/>
  <c r="AH70" i="6"/>
  <c r="CD70" i="6"/>
  <c r="BT88" i="6"/>
  <c r="CR88" i="6"/>
  <c r="DH120" i="6"/>
  <c r="BI121" i="6"/>
  <c r="BS124" i="6"/>
  <c r="CQ124" i="6"/>
  <c r="AQ142" i="6"/>
  <c r="BO142" i="6"/>
  <c r="CM142" i="6"/>
  <c r="DH200" i="6"/>
  <c r="AU25" i="6"/>
  <c r="BS25" i="6"/>
  <c r="CQ25" i="6"/>
  <c r="DH41" i="6"/>
  <c r="O49" i="6"/>
  <c r="O319" i="6" s="1"/>
  <c r="DH59" i="6"/>
  <c r="BJ85" i="6"/>
  <c r="BZ94" i="6"/>
  <c r="BT124" i="6"/>
  <c r="CR124" i="6"/>
  <c r="AR142" i="6"/>
  <c r="BP142" i="6"/>
  <c r="BP184" i="6"/>
  <c r="DH182" i="6"/>
  <c r="DH210" i="6"/>
  <c r="AF256" i="6"/>
  <c r="DH255" i="6"/>
  <c r="CJ115" i="6"/>
  <c r="DH114" i="6"/>
  <c r="DH116" i="6"/>
  <c r="DH129" i="6"/>
  <c r="CU184" i="6"/>
  <c r="DH23" i="6"/>
  <c r="BO70" i="6"/>
  <c r="CM70" i="6"/>
  <c r="AP76" i="6"/>
  <c r="AP319" i="6" s="1"/>
  <c r="BN76" i="6"/>
  <c r="CL76" i="6"/>
  <c r="DH107" i="6"/>
  <c r="DA112" i="6"/>
  <c r="BS187" i="6"/>
  <c r="DH187" i="6" s="1"/>
  <c r="DH186" i="6"/>
  <c r="DH204" i="6"/>
  <c r="DH207" i="6"/>
  <c r="DH33" i="6"/>
  <c r="Y58" i="6"/>
  <c r="AQ76" i="6"/>
  <c r="DF97" i="6"/>
  <c r="DH174" i="6"/>
  <c r="DH251" i="6"/>
  <c r="AL58" i="6"/>
  <c r="BJ58" i="6"/>
  <c r="CH58" i="6"/>
  <c r="DF58" i="6"/>
  <c r="AF61" i="6"/>
  <c r="BD61" i="6"/>
  <c r="CB61" i="6"/>
  <c r="CB319" i="6" s="1"/>
  <c r="CZ61" i="6"/>
  <c r="BP76" i="6"/>
  <c r="BT103" i="6"/>
  <c r="DH171" i="6"/>
  <c r="AJ193" i="6"/>
  <c r="AJ319" i="6" s="1"/>
  <c r="DH192" i="6"/>
  <c r="BN34" i="6"/>
  <c r="CL34" i="6"/>
  <c r="AM58" i="6"/>
  <c r="BK58" i="6"/>
  <c r="CI58" i="6"/>
  <c r="AG61" i="6"/>
  <c r="BE61" i="6"/>
  <c r="CC61" i="6"/>
  <c r="DA61" i="6"/>
  <c r="V61" i="6"/>
  <c r="V319" i="6" s="1"/>
  <c r="DH90" i="6"/>
  <c r="BP115" i="6"/>
  <c r="W319" i="6"/>
  <c r="CQ319" i="6"/>
  <c r="BO34" i="6"/>
  <c r="CM34" i="6"/>
  <c r="BR76" i="6"/>
  <c r="CD79" i="6"/>
  <c r="CD319" i="6" s="1"/>
  <c r="DH80" i="6"/>
  <c r="CT85" i="6"/>
  <c r="DH144" i="6"/>
  <c r="I202" i="6"/>
  <c r="CP115" i="6"/>
  <c r="BH79" i="6"/>
  <c r="CF79" i="6"/>
  <c r="DH86" i="6"/>
  <c r="BX103" i="6"/>
  <c r="CV103" i="6"/>
  <c r="CV319" i="6" s="1"/>
  <c r="CK106" i="6"/>
  <c r="DH153" i="6"/>
  <c r="DH189" i="6"/>
  <c r="I205" i="6"/>
  <c r="DH205" i="6" s="1"/>
  <c r="AT319" i="6"/>
  <c r="U4" i="6"/>
  <c r="AS4" i="6"/>
  <c r="AS319" i="6" s="1"/>
  <c r="BQ4" i="6"/>
  <c r="BQ319" i="6" s="1"/>
  <c r="CO4" i="6"/>
  <c r="CO319" i="6" s="1"/>
  <c r="CI40" i="6"/>
  <c r="DH74" i="6"/>
  <c r="AW76" i="6"/>
  <c r="BU76" i="6"/>
  <c r="DE79" i="6"/>
  <c r="BY103" i="6"/>
  <c r="CW103" i="6"/>
  <c r="DH195" i="6"/>
  <c r="AC319" i="6"/>
  <c r="W4" i="6"/>
  <c r="AU4" i="6"/>
  <c r="AU319" i="6" s="1"/>
  <c r="BS4" i="6"/>
  <c r="CQ4" i="6"/>
  <c r="AV34" i="6"/>
  <c r="BT34" i="6"/>
  <c r="BT319" i="6" s="1"/>
  <c r="CR34" i="6"/>
  <c r="AO40" i="6"/>
  <c r="DH40" i="6" s="1"/>
  <c r="BM40" i="6"/>
  <c r="CK40" i="6"/>
  <c r="H319" i="6"/>
  <c r="CA85" i="6"/>
  <c r="DH92" i="6"/>
  <c r="BS94" i="6"/>
  <c r="CN106" i="6"/>
  <c r="CN319" i="6" s="1"/>
  <c r="CT115" i="6"/>
  <c r="AE139" i="6"/>
  <c r="DH139" i="6" s="1"/>
  <c r="DH137" i="6"/>
  <c r="AD166" i="6"/>
  <c r="DH166" i="6" s="1"/>
  <c r="DH164" i="6"/>
  <c r="AE319" i="6"/>
  <c r="BC319" i="6"/>
  <c r="Y4" i="6"/>
  <c r="AW4" i="6"/>
  <c r="AW319" i="6" s="1"/>
  <c r="BU4" i="6"/>
  <c r="CS4" i="6"/>
  <c r="CS319" i="6" s="1"/>
  <c r="DH30" i="6"/>
  <c r="CC85" i="6"/>
  <c r="BT97" i="6"/>
  <c r="CR97" i="6"/>
  <c r="BR106" i="6"/>
  <c r="DH106" i="6" s="1"/>
  <c r="CP106" i="6"/>
  <c r="BO124" i="6"/>
  <c r="CM124" i="6"/>
  <c r="CT151" i="6"/>
  <c r="DH151" i="6" s="1"/>
  <c r="DH183" i="6"/>
  <c r="DH188" i="6"/>
  <c r="AF319" i="6"/>
  <c r="BD319" i="6"/>
  <c r="Z4" i="6"/>
  <c r="Z319" i="6" s="1"/>
  <c r="AX4" i="6"/>
  <c r="AX319" i="6" s="1"/>
  <c r="BV4" i="6"/>
  <c r="BV319" i="6" s="1"/>
  <c r="CT4" i="6"/>
  <c r="BC70" i="6"/>
  <c r="CY70" i="6"/>
  <c r="BQ88" i="6"/>
  <c r="DH88" i="6" s="1"/>
  <c r="CO88" i="6"/>
  <c r="DH141" i="6"/>
  <c r="DH177" i="6"/>
  <c r="DH197" i="6"/>
  <c r="DH232" i="6"/>
  <c r="DH231" i="6"/>
  <c r="X241" i="6"/>
  <c r="DH241" i="6" s="1"/>
  <c r="DH240" i="6"/>
  <c r="DH275" i="6"/>
  <c r="AU277" i="6"/>
  <c r="DH277" i="6" s="1"/>
  <c r="DH99" i="6"/>
  <c r="BM115" i="6"/>
  <c r="DH115" i="6" s="1"/>
  <c r="CK115" i="6"/>
  <c r="AT142" i="6"/>
  <c r="DH216" i="6"/>
  <c r="AJ220" i="6"/>
  <c r="DH220" i="6" s="1"/>
  <c r="BH220" i="6"/>
  <c r="CF220" i="6"/>
  <c r="DD220" i="6"/>
  <c r="DH274" i="6"/>
  <c r="DH191" i="6"/>
  <c r="Z193" i="6"/>
  <c r="AR196" i="6"/>
  <c r="BP196" i="6"/>
  <c r="CN196" i="6"/>
  <c r="DH245" i="6"/>
  <c r="BI85" i="6"/>
  <c r="CG85" i="6"/>
  <c r="DE85" i="6"/>
  <c r="CR184" i="6"/>
  <c r="DH227" i="6"/>
  <c r="DH229" i="6"/>
  <c r="DH228" i="6"/>
  <c r="BW94" i="6"/>
  <c r="CU94" i="6"/>
  <c r="DH126" i="6"/>
  <c r="CO130" i="6"/>
  <c r="DH135" i="6"/>
  <c r="J157" i="6"/>
  <c r="DH157" i="6" s="1"/>
  <c r="DH155" i="6"/>
  <c r="DH167" i="6"/>
  <c r="DH138" i="6"/>
  <c r="DH225" i="6"/>
  <c r="AS265" i="6"/>
  <c r="BQ265" i="6"/>
  <c r="CO265" i="6"/>
  <c r="DH279" i="6"/>
  <c r="DH117" i="6"/>
  <c r="BU130" i="6"/>
  <c r="CS130" i="6"/>
  <c r="CE178" i="6"/>
  <c r="DH178" i="6" s="1"/>
  <c r="DC178" i="6"/>
  <c r="DH213" i="6"/>
  <c r="CB94" i="6"/>
  <c r="CZ94" i="6"/>
  <c r="BO103" i="6"/>
  <c r="CM103" i="6"/>
  <c r="DH112" i="6"/>
  <c r="DH111" i="6"/>
  <c r="BV130" i="6"/>
  <c r="CT130" i="6"/>
  <c r="CP133" i="6"/>
  <c r="DH209" i="6"/>
  <c r="CC94" i="6"/>
  <c r="DA94" i="6"/>
  <c r="BV121" i="6"/>
  <c r="CT121" i="6"/>
  <c r="BW130" i="6"/>
  <c r="DH147" i="6"/>
  <c r="CI187" i="6"/>
  <c r="DH282" i="6"/>
  <c r="BW121" i="6"/>
  <c r="CU121" i="6"/>
  <c r="BX130" i="6"/>
  <c r="AK193" i="6"/>
  <c r="DE193" i="6"/>
  <c r="DH203" i="6"/>
  <c r="AG205" i="6"/>
  <c r="CC205" i="6"/>
  <c r="L319" i="6"/>
  <c r="AW70" i="6"/>
  <c r="DH70" i="6" s="1"/>
  <c r="BU70" i="6"/>
  <c r="BU319" i="6" s="1"/>
  <c r="CS70" i="6"/>
  <c r="AU76" i="6"/>
  <c r="BS76" i="6"/>
  <c r="CQ76" i="6"/>
  <c r="BR103" i="6"/>
  <c r="CP103" i="6"/>
  <c r="BN112" i="6"/>
  <c r="CL112" i="6"/>
  <c r="CW130" i="6"/>
  <c r="BU133" i="6"/>
  <c r="DH133" i="6" s="1"/>
  <c r="DH131" i="6"/>
  <c r="CG142" i="6"/>
  <c r="DE142" i="6"/>
  <c r="DH176" i="6"/>
  <c r="CK187" i="6"/>
  <c r="M319" i="6"/>
  <c r="AX70" i="6"/>
  <c r="BV70" i="6"/>
  <c r="CT70" i="6"/>
  <c r="CT319" i="6" s="1"/>
  <c r="DH71" i="6"/>
  <c r="X76" i="6"/>
  <c r="AV76" i="6"/>
  <c r="AV319" i="6" s="1"/>
  <c r="BT76" i="6"/>
  <c r="CR76" i="6"/>
  <c r="CR319" i="6" s="1"/>
  <c r="BS103" i="6"/>
  <c r="CQ103" i="6"/>
  <c r="DH105" i="6"/>
  <c r="CX130" i="6"/>
  <c r="BJ142" i="6"/>
  <c r="CH142" i="6"/>
  <c r="DF142" i="6"/>
  <c r="BY175" i="6"/>
  <c r="DH215" i="6"/>
  <c r="P319" i="6"/>
  <c r="BR88" i="6"/>
  <c r="CP88" i="6"/>
  <c r="BU97" i="6"/>
  <c r="CS97" i="6"/>
  <c r="BP124" i="6"/>
  <c r="BP319" i="6" s="1"/>
  <c r="CN124" i="6"/>
  <c r="AF67" i="6"/>
  <c r="DH67" i="6" s="1"/>
  <c r="BD67" i="6"/>
  <c r="CB67" i="6"/>
  <c r="CZ67" i="6"/>
  <c r="CZ319" i="6" s="1"/>
  <c r="AN79" i="6"/>
  <c r="BL79" i="6"/>
  <c r="CJ79" i="6"/>
  <c r="DH78" i="6"/>
  <c r="BS88" i="6"/>
  <c r="CQ88" i="6"/>
  <c r="BV97" i="6"/>
  <c r="CT97" i="6"/>
  <c r="DH108" i="6"/>
  <c r="AP142" i="6"/>
  <c r="DH142" i="6" s="1"/>
  <c r="BN142" i="6"/>
  <c r="CL142" i="6"/>
  <c r="DH162" i="6"/>
  <c r="CC175" i="6"/>
  <c r="CI184" i="6"/>
  <c r="AW202" i="6"/>
  <c r="BU202" i="6"/>
  <c r="T205" i="6"/>
  <c r="AR205" i="6"/>
  <c r="BP205" i="6"/>
  <c r="CN205" i="6"/>
  <c r="AA238" i="6"/>
  <c r="DH236" i="6"/>
  <c r="BO265" i="6"/>
  <c r="DH265" i="6" s="1"/>
  <c r="BQ184" i="6"/>
  <c r="CO184" i="6"/>
  <c r="AE211" i="6"/>
  <c r="DH211" i="6" s="1"/>
  <c r="BC211" i="6"/>
  <c r="CA211" i="6"/>
  <c r="CY211" i="6"/>
  <c r="DH246" i="6"/>
  <c r="DH248" i="6"/>
  <c r="DH257" i="6"/>
  <c r="DH266" i="6"/>
  <c r="DB283" i="6"/>
  <c r="BI139" i="6"/>
  <c r="CG139" i="6"/>
  <c r="DE139" i="6"/>
  <c r="DH252" i="6"/>
  <c r="CB256" i="6"/>
  <c r="CZ256" i="6"/>
  <c r="BH283" i="6"/>
  <c r="DH287" i="6"/>
  <c r="AU310" i="6"/>
  <c r="DH309" i="6"/>
  <c r="AS196" i="6"/>
  <c r="BQ196" i="6"/>
  <c r="CO196" i="6"/>
  <c r="AJ211" i="6"/>
  <c r="BH211" i="6"/>
  <c r="CF211" i="6"/>
  <c r="DD211" i="6"/>
  <c r="AK220" i="6"/>
  <c r="BI220" i="6"/>
  <c r="CG220" i="6"/>
  <c r="DH224" i="6"/>
  <c r="X238" i="6"/>
  <c r="DH237" i="6"/>
  <c r="DH260" i="6"/>
  <c r="CU175" i="6"/>
  <c r="AT196" i="6"/>
  <c r="BR196" i="6"/>
  <c r="CP196" i="6"/>
  <c r="K202" i="6"/>
  <c r="DH202" i="6" s="1"/>
  <c r="AI202" i="6"/>
  <c r="BG202" i="6"/>
  <c r="CE202" i="6"/>
  <c r="DC202" i="6"/>
  <c r="DH283" i="6"/>
  <c r="DH281" i="6"/>
  <c r="DH289" i="6"/>
  <c r="DH292" i="6"/>
  <c r="DH306" i="6"/>
  <c r="CV175" i="6"/>
  <c r="AL211" i="6"/>
  <c r="BJ211" i="6"/>
  <c r="CH211" i="6"/>
  <c r="DF211" i="6"/>
  <c r="AA241" i="6"/>
  <c r="DH239" i="6"/>
  <c r="DB148" i="6"/>
  <c r="AL193" i="6"/>
  <c r="BJ193" i="6"/>
  <c r="CH193" i="6"/>
  <c r="DF193" i="6"/>
  <c r="AV196" i="6"/>
  <c r="BT196" i="6"/>
  <c r="CR196" i="6"/>
  <c r="BR214" i="6"/>
  <c r="V247" i="6"/>
  <c r="AT247" i="6"/>
  <c r="CP247" i="6"/>
  <c r="U250" i="6"/>
  <c r="BQ250" i="6"/>
  <c r="AK256" i="6"/>
  <c r="AK319" i="6" s="1"/>
  <c r="BI256" i="6"/>
  <c r="CG256" i="6"/>
  <c r="CG319" i="6" s="1"/>
  <c r="DE256" i="6"/>
  <c r="DH296" i="6"/>
  <c r="AM193" i="6"/>
  <c r="BK193" i="6"/>
  <c r="CI193" i="6"/>
  <c r="N202" i="6"/>
  <c r="AL202" i="6"/>
  <c r="BJ202" i="6"/>
  <c r="CH202" i="6"/>
  <c r="DF202" i="6"/>
  <c r="BS214" i="6"/>
  <c r="DH269" i="6"/>
  <c r="DD148" i="6"/>
  <c r="DH148" i="6" s="1"/>
  <c r="AN193" i="6"/>
  <c r="BL193" i="6"/>
  <c r="CJ193" i="6"/>
  <c r="O202" i="6"/>
  <c r="AM202" i="6"/>
  <c r="BK202" i="6"/>
  <c r="CI202" i="6"/>
  <c r="DH270" i="6"/>
  <c r="DH132" i="6"/>
  <c r="AA196" i="6"/>
  <c r="AY196" i="6"/>
  <c r="BW196" i="6"/>
  <c r="CU196" i="6"/>
  <c r="N205" i="6"/>
  <c r="AL205" i="6"/>
  <c r="BJ205" i="6"/>
  <c r="CH205" i="6"/>
  <c r="DF205" i="6"/>
  <c r="DH303" i="6"/>
  <c r="DH110" i="6"/>
  <c r="DF148" i="6"/>
  <c r="BZ187" i="6"/>
  <c r="CX187" i="6"/>
  <c r="AP193" i="6"/>
  <c r="BN193" i="6"/>
  <c r="CL193" i="6"/>
  <c r="DH198" i="6"/>
  <c r="O205" i="6"/>
  <c r="AM205" i="6"/>
  <c r="BK205" i="6"/>
  <c r="CI205" i="6"/>
  <c r="CT214" i="6"/>
  <c r="AT238" i="6"/>
  <c r="BR238" i="6"/>
  <c r="CP238" i="6"/>
  <c r="DH258" i="6"/>
  <c r="DH312" i="6"/>
  <c r="CN133" i="6"/>
  <c r="CC187" i="6"/>
  <c r="DA187" i="6"/>
  <c r="AS193" i="6"/>
  <c r="BQ193" i="6"/>
  <c r="CO193" i="6"/>
  <c r="T202" i="6"/>
  <c r="AR202" i="6"/>
  <c r="BP202" i="6"/>
  <c r="CN202" i="6"/>
  <c r="AC214" i="6"/>
  <c r="BA214" i="6"/>
  <c r="CW214" i="6"/>
  <c r="Q301" i="6"/>
  <c r="Q319" i="6" s="1"/>
  <c r="AO301" i="6"/>
  <c r="BM301" i="6"/>
  <c r="CK301" i="6"/>
  <c r="AC223" i="6"/>
  <c r="DH223" i="6" s="1"/>
  <c r="BA223" i="6"/>
  <c r="BA319" i="6" s="1"/>
  <c r="BY223" i="6"/>
  <c r="CW223" i="6"/>
  <c r="DH264" i="6"/>
  <c r="DH293" i="6"/>
  <c r="BW295" i="6"/>
  <c r="R304" i="6"/>
  <c r="DH304" i="6" s="1"/>
  <c r="AP304" i="6"/>
  <c r="BN304" i="6"/>
  <c r="CL304" i="6"/>
  <c r="DH305" i="6"/>
  <c r="AB238" i="6"/>
  <c r="AZ238" i="6"/>
  <c r="BX238" i="6"/>
  <c r="CV238" i="6"/>
  <c r="AD250" i="6"/>
  <c r="BB250" i="6"/>
  <c r="BZ250" i="6"/>
  <c r="CX250" i="6"/>
  <c r="CF295" i="6"/>
  <c r="DD295" i="6"/>
  <c r="DD319" i="6" s="1"/>
  <c r="DH308" i="6"/>
  <c r="AL220" i="6"/>
  <c r="BJ220" i="6"/>
  <c r="CH220" i="6"/>
  <c r="DF220" i="6"/>
  <c r="AT259" i="6"/>
  <c r="DH259" i="6" s="1"/>
  <c r="BR259" i="6"/>
  <c r="CP259" i="6"/>
  <c r="AN220" i="6"/>
  <c r="BL220" i="6"/>
  <c r="CJ220" i="6"/>
  <c r="DH253" i="6"/>
  <c r="BA265" i="6"/>
  <c r="BY265" i="6"/>
  <c r="CW265" i="6"/>
  <c r="AK268" i="6"/>
  <c r="BI268" i="6"/>
  <c r="CG268" i="6"/>
  <c r="DE268" i="6"/>
  <c r="DH294" i="6"/>
  <c r="DH243" i="6"/>
  <c r="DH254" i="6"/>
  <c r="N256" i="6"/>
  <c r="AL256" i="6"/>
  <c r="BJ256" i="6"/>
  <c r="CH256" i="6"/>
  <c r="DF256" i="6"/>
  <c r="DH267" i="6"/>
  <c r="DH301" i="6"/>
  <c r="DH222" i="6"/>
  <c r="AM256" i="6"/>
  <c r="BK256" i="6"/>
  <c r="CI256" i="6"/>
  <c r="DH261" i="6"/>
  <c r="DH218" i="6"/>
  <c r="AN223" i="6"/>
  <c r="BL223" i="6"/>
  <c r="CJ223" i="6"/>
  <c r="DH286" i="6"/>
  <c r="DH285" i="6"/>
  <c r="DH291" i="6"/>
  <c r="DH302" i="6"/>
  <c r="AB214" i="6"/>
  <c r="DH214" i="6" s="1"/>
  <c r="AZ214" i="6"/>
  <c r="AZ319" i="6" s="1"/>
  <c r="BX214" i="6"/>
  <c r="CV214" i="6"/>
  <c r="Y247" i="6"/>
  <c r="Y319" i="6" s="1"/>
  <c r="AW247" i="6"/>
  <c r="BU247" i="6"/>
  <c r="CS247" i="6"/>
  <c r="DH249" i="6"/>
  <c r="DH278" i="6"/>
  <c r="DH299" i="6"/>
  <c r="DH311" i="6"/>
  <c r="AV313" i="6"/>
  <c r="DH313" i="6" s="1"/>
  <c r="DH315" i="6"/>
  <c r="AD214" i="6"/>
  <c r="BB214" i="6"/>
  <c r="BZ214" i="6"/>
  <c r="CX214" i="6"/>
  <c r="AA247" i="6"/>
  <c r="AY247" i="6"/>
  <c r="BW247" i="6"/>
  <c r="CU247" i="6"/>
  <c r="DH300" i="6"/>
  <c r="BF310" i="6"/>
  <c r="BF319" i="6" s="1"/>
  <c r="CD310" i="6"/>
  <c r="DB310" i="6"/>
  <c r="DB319" i="6" s="1"/>
  <c r="AF214" i="6"/>
  <c r="BD214" i="6"/>
  <c r="CB214" i="6"/>
  <c r="CZ214" i="6"/>
  <c r="DH221" i="6"/>
  <c r="AS256" i="6"/>
  <c r="BQ256" i="6"/>
  <c r="CO256" i="6"/>
  <c r="DH263" i="6"/>
  <c r="BH310" i="6"/>
  <c r="CF310" i="6"/>
  <c r="DD310" i="6"/>
  <c r="AP238" i="6"/>
  <c r="BN238" i="6"/>
  <c r="CL238" i="6"/>
  <c r="DH284" i="6"/>
  <c r="DH272" i="6"/>
  <c r="M247" i="6"/>
  <c r="BS319" i="6" l="1"/>
  <c r="DH256" i="6"/>
  <c r="DH76" i="6"/>
  <c r="DH310" i="6"/>
  <c r="DH94" i="6"/>
  <c r="DH58" i="6"/>
  <c r="K319" i="6"/>
  <c r="DH130" i="6"/>
  <c r="DH61" i="6"/>
  <c r="DH196" i="6"/>
  <c r="CE319" i="6"/>
  <c r="DH7" i="6"/>
  <c r="DH268" i="6"/>
  <c r="AL319" i="6"/>
  <c r="DH175" i="6"/>
  <c r="DH34" i="6"/>
  <c r="BB319" i="6"/>
  <c r="DH238" i="6"/>
  <c r="DH85" i="6"/>
  <c r="DH124" i="6"/>
  <c r="DH193" i="6"/>
  <c r="DH16" i="6"/>
  <c r="J319" i="6"/>
  <c r="DH319" i="6" s="1"/>
  <c r="DH320" i="6" s="1"/>
  <c r="DH79" i="6"/>
  <c r="DH250" i="6"/>
  <c r="DH4" i="6"/>
  <c r="DH184" i="6"/>
  <c r="DH247" i="6"/>
  <c r="DH295" i="6"/>
  <c r="X319" i="6"/>
  <c r="U3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Straffon</author>
  </authors>
  <commentList>
    <comment ref="AA210" authorId="0" shapeId="0" xr:uid="{F4FC08AE-94FC-48DC-BFC2-78553E882A9B}">
      <text>
        <r>
          <rPr>
            <b/>
            <sz val="9"/>
            <color indexed="81"/>
            <rFont val="Tahoma"/>
            <family val="2"/>
          </rPr>
          <t>Alfonso Straffon:</t>
        </r>
        <r>
          <rPr>
            <sz val="9"/>
            <color indexed="81"/>
            <rFont val="Tahoma"/>
            <family val="2"/>
          </rPr>
          <t xml:space="preserve">
Started to provide splits for mobile and retail</t>
        </r>
      </text>
    </comment>
  </commentList>
</comments>
</file>

<file path=xl/sharedStrings.xml><?xml version="1.0" encoding="utf-8"?>
<sst xmlns="http://schemas.openxmlformats.org/spreadsheetml/2006/main" count="601" uniqueCount="48">
  <si>
    <t>State</t>
  </si>
  <si>
    <t>Metric</t>
  </si>
  <si>
    <t>Total</t>
  </si>
  <si>
    <t>AR</t>
  </si>
  <si>
    <t>Handle</t>
  </si>
  <si>
    <t>Revenue</t>
  </si>
  <si>
    <t>Taxable Revenue</t>
  </si>
  <si>
    <t>Taxes</t>
  </si>
  <si>
    <t>AZ</t>
  </si>
  <si>
    <t>CO</t>
  </si>
  <si>
    <t>CT</t>
  </si>
  <si>
    <t>DC</t>
  </si>
  <si>
    <t>DE</t>
  </si>
  <si>
    <t>IA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</si>
  <si>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</si>
  <si>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</si>
  <si>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</si>
  <si>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</si>
  <si>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</si>
  <si>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</si>
  <si>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</si>
  <si>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</si>
  <si>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</si>
  <si>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MS</t>
  </si>
  <si>
    <t>MT</t>
  </si>
  <si>
    <t>NC</t>
  </si>
  <si>
    <t>NE</t>
  </si>
  <si>
    <t>NH</t>
  </si>
  <si>
    <t>NJ</t>
  </si>
  <si>
    <t>NV</t>
  </si>
  <si>
    <t>NY</t>
  </si>
  <si>
    <t>OH</t>
  </si>
  <si>
    <t>OR</t>
  </si>
  <si>
    <t>PA</t>
  </si>
  <si>
    <t>RI</t>
  </si>
  <si>
    <t>TN</t>
  </si>
  <si>
    <t>SD</t>
  </si>
  <si>
    <t>VA</t>
  </si>
  <si>
    <t>VT</t>
  </si>
  <si>
    <t>WV</t>
  </si>
  <si>
    <t>WY</t>
  </si>
  <si>
    <t>Promos/Dedux</t>
  </si>
  <si>
    <t>Handle Mobile</t>
  </si>
  <si>
    <t>Handle Retail</t>
  </si>
  <si>
    <t>Revenue Mobile</t>
  </si>
  <si>
    <t>Revenue Retail</t>
  </si>
  <si>
    <t>check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</si>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</sst>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1" applyNumberFormat="1" applyFont="1" applyFill="1"/>
    <xf numFmtId="164" fontId="5" fillId="0" borderId="0" xfId="1" applyNumberFormat="1" applyFont="1" applyFill="1"/>
    <xf numFmtId="0" fontId="5" fillId="0" borderId="0" xfId="0" applyFont="1"/>
    <xf numFmtId="14" fontId="5" fillId="0" borderId="0" xfId="0" applyNumberFormat="1" applyFont="1"/>
    <xf numFmtId="0" fontId="2" fillId="0" borderId="0" xfId="0" applyFont="1"/>
    <xf numFmtId="164" fontId="5" fillId="0" borderId="0" xfId="0" applyNumberFormat="1" applyFont="1"/>
    <xf numFmtId="0" fontId="6" fillId="0" borderId="0" xfId="0" applyFont="1"/>
    <xf numFmtId="43" fontId="7" fillId="0" borderId="0" xfId="0" applyNumberFormat="1" applyFont="1"/>
  </cellXfs>
  <cellStyles count="3">
    <cellStyle name="Comma" xfId="1" builtinId="3"/>
    <cellStyle name="Comma 3 3" xfId="2" xr:uid="{5B2D984C-EEE1-457D-B799-AA52F246DBD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016E-990B-4BD3-BDD8-6D3643A72917}">
  <dimension ref="A1:DI320"/>
  <sheetViews>
    <sheetView tabSelected="1" zoomScale="70" zoomScaleNormal="70" workbookViewId="0">
      <pane xSplit="2" ySplit="1" topLeftCell="CH194" activePane="bottomRight" state="frozen"/>
      <selection pane="topRight" activeCell="I1" sqref="I1"/>
      <selection pane="bottomLeft" activeCell="A2" sqref="A2"/>
      <selection pane="bottomRight" activeCell="CY256" sqref="CY256:CY257"/>
    </sheetView>
  </sheetViews>
  <sheetFormatPr defaultColWidth="9.140625" defaultRowHeight="12.75" outlineLevelCol="1" x14ac:dyDescent="0.2"/>
  <cols>
    <col min="1" max="1" width="10.140625" style="5" customWidth="1"/>
    <col min="2" max="2" width="21.5703125" style="5" bestFit="1" customWidth="1"/>
    <col min="3" max="3" width="9.5703125" style="5" customWidth="1" outlineLevel="1"/>
    <col min="4" max="4" width="11.5703125" style="5" customWidth="1" outlineLevel="1"/>
    <col min="5" max="5" width="11.140625" style="5" customWidth="1" outlineLevel="1"/>
    <col min="6" max="6" width="11.5703125" style="5" customWidth="1" outlineLevel="1"/>
    <col min="7" max="7" width="11.140625" style="5" customWidth="1" outlineLevel="1"/>
    <col min="8" max="8" width="15.7109375" style="5" customWidth="1" outlineLevel="1"/>
    <col min="9" max="10" width="15.28515625" style="5" customWidth="1" outlineLevel="1"/>
    <col min="11" max="11" width="16.42578125" style="5" customWidth="1" outlineLevel="1"/>
    <col min="12" max="12" width="16.85546875" style="5" customWidth="1" outlineLevel="1"/>
    <col min="13" max="15" width="17.28515625" style="5" customWidth="1" outlineLevel="1"/>
    <col min="16" max="17" width="16.42578125" style="5" customWidth="1" outlineLevel="1"/>
    <col min="18" max="18" width="17.28515625" style="5" customWidth="1" outlineLevel="1"/>
    <col min="19" max="24" width="16.85546875" style="5" customWidth="1" outlineLevel="1"/>
    <col min="25" max="25" width="17.28515625" style="5" customWidth="1" outlineLevel="1"/>
    <col min="26" max="26" width="16.42578125" style="5" customWidth="1" outlineLevel="1"/>
    <col min="27" max="27" width="17.7109375" style="5" customWidth="1" outlineLevel="1"/>
    <col min="28" max="29" width="17.28515625" style="5" customWidth="1" outlineLevel="1"/>
    <col min="30" max="30" width="15.28515625" style="5" customWidth="1" outlineLevel="1"/>
    <col min="31" max="32" width="15.7109375" style="5" customWidth="1" outlineLevel="1"/>
    <col min="33" max="36" width="17.7109375" style="5" customWidth="1" outlineLevel="1"/>
    <col min="37" max="37" width="16.42578125" style="5" customWidth="1" outlineLevel="1"/>
    <col min="38" max="38" width="16.85546875" style="5" customWidth="1" outlineLevel="1"/>
    <col min="39" max="40" width="17.7109375" style="5" customWidth="1" outlineLevel="1"/>
    <col min="41" max="41" width="18.140625" style="5" customWidth="1" outlineLevel="1"/>
    <col min="42" max="43" width="17.7109375" style="5" customWidth="1" outlineLevel="1"/>
    <col min="44" max="44" width="16.85546875" style="5" customWidth="1" outlineLevel="1"/>
    <col min="45" max="45" width="17.7109375" style="5" customWidth="1" outlineLevel="1"/>
    <col min="46" max="46" width="16.85546875" style="5" customWidth="1" outlineLevel="1"/>
    <col min="47" max="47" width="17.7109375" style="5" customWidth="1" outlineLevel="1"/>
    <col min="48" max="48" width="18.140625" style="5" customWidth="1" outlineLevel="1"/>
    <col min="49" max="49" width="18.5703125" style="5" customWidth="1" outlineLevel="1"/>
    <col min="50" max="50" width="18.140625" style="5" customWidth="1" outlineLevel="1"/>
    <col min="51" max="51" width="18.5703125" style="5" customWidth="1" outlineLevel="1"/>
    <col min="52" max="52" width="18.140625" style="5" customWidth="1" outlineLevel="1"/>
    <col min="53" max="53" width="18.5703125" style="5" customWidth="1" outlineLevel="1"/>
    <col min="54" max="54" width="18.140625" style="5" customWidth="1" outlineLevel="1"/>
    <col min="55" max="56" width="18.5703125" style="5" customWidth="1" outlineLevel="1"/>
    <col min="57" max="57" width="18.140625" style="5" customWidth="1" outlineLevel="1"/>
    <col min="58" max="58" width="17.28515625" style="5" customWidth="1" outlineLevel="1"/>
    <col min="59" max="59" width="17.7109375" style="5" customWidth="1" outlineLevel="1"/>
    <col min="60" max="60" width="17.28515625" style="5" customWidth="1" outlineLevel="1"/>
    <col min="61" max="62" width="18.5703125" style="5" customWidth="1" outlineLevel="1"/>
    <col min="63" max="64" width="18.140625" style="5" customWidth="1" outlineLevel="1"/>
    <col min="65" max="65" width="18.85546875" style="5" customWidth="1" outlineLevel="1"/>
    <col min="66" max="66" width="17.7109375" style="5" customWidth="1" outlineLevel="1"/>
    <col min="67" max="67" width="18.5703125" style="5" customWidth="1" outlineLevel="1"/>
    <col min="68" max="68" width="17.7109375" style="5" customWidth="1" outlineLevel="1"/>
    <col min="69" max="69" width="18.5703125" style="5" customWidth="1" outlineLevel="1"/>
    <col min="70" max="70" width="18.140625" style="5" customWidth="1" outlineLevel="1"/>
    <col min="71" max="71" width="17.28515625" style="5" customWidth="1" outlineLevel="1"/>
    <col min="72" max="72" width="18.5703125" style="5" customWidth="1" outlineLevel="1"/>
    <col min="73" max="73" width="18.140625" style="5" customWidth="1" outlineLevel="1"/>
    <col min="74" max="74" width="18.85546875" style="5" customWidth="1" outlineLevel="1"/>
    <col min="75" max="75" width="18.140625" style="5" customWidth="1" outlineLevel="1"/>
    <col min="76" max="76" width="18.5703125" style="5" customWidth="1" outlineLevel="1"/>
    <col min="77" max="77" width="18.140625" style="5" customWidth="1" outlineLevel="1"/>
    <col min="78" max="78" width="18.85546875" style="5" customWidth="1" outlineLevel="1"/>
    <col min="79" max="79" width="18.85546875" style="5" bestFit="1" customWidth="1"/>
    <col min="80" max="80" width="18.5703125" style="5" bestFit="1" customWidth="1"/>
    <col min="81" max="81" width="17.28515625" style="5" bestFit="1" customWidth="1"/>
    <col min="82" max="82" width="18.140625" style="5" bestFit="1" customWidth="1"/>
    <col min="83" max="84" width="18.85546875" style="5" bestFit="1" customWidth="1"/>
    <col min="85" max="85" width="18.140625" style="5" bestFit="1" customWidth="1"/>
    <col min="86" max="89" width="18.85546875" style="5" bestFit="1" customWidth="1"/>
    <col min="90" max="90" width="18.5703125" style="5" bestFit="1" customWidth="1"/>
    <col min="91" max="91" width="18.85546875" style="5" bestFit="1" customWidth="1"/>
    <col min="92" max="92" width="18.140625" style="5" bestFit="1" customWidth="1"/>
    <col min="93" max="93" width="18.85546875" style="5" bestFit="1" customWidth="1"/>
    <col min="94" max="94" width="18.140625" style="5" bestFit="1" customWidth="1"/>
    <col min="95" max="95" width="18.85546875" style="5" bestFit="1" customWidth="1"/>
    <col min="96" max="96" width="18.5703125" style="5" bestFit="1" customWidth="1"/>
    <col min="97" max="97" width="17.28515625" style="5" bestFit="1" customWidth="1"/>
    <col min="98" max="100" width="18.140625" style="5" bestFit="1" customWidth="1"/>
    <col min="101" max="101" width="18.85546875" style="5" bestFit="1" customWidth="1"/>
    <col min="102" max="102" width="18.140625" style="5" bestFit="1" customWidth="1"/>
    <col min="103" max="103" width="18.5703125" style="5" bestFit="1" customWidth="1"/>
    <col min="104" max="104" width="18.85546875" style="5" bestFit="1" customWidth="1"/>
    <col min="105" max="106" width="18.5703125" style="5" bestFit="1" customWidth="1"/>
    <col min="107" max="107" width="18.85546875" style="5" bestFit="1" customWidth="1"/>
    <col min="108" max="110" width="14.28515625" style="5" customWidth="1"/>
    <col min="111" max="111" width="12.42578125" style="5" bestFit="1" customWidth="1"/>
    <col min="112" max="112" width="25" style="3" bestFit="1" customWidth="1"/>
    <col min="113" max="16384" width="9.140625" style="5"/>
  </cols>
  <sheetData>
    <row r="1" spans="1:112" s="3" customFormat="1" x14ac:dyDescent="0.2">
      <c r="A1" s="3" t="s">
        <v>0</v>
      </c>
      <c r="B1" s="3" t="s">
        <v>1</v>
      </c>
      <c r="C1" s="4">
        <v>43101</v>
      </c>
      <c r="D1" s="4">
        <f>EOMONTH(C1,1)</f>
        <v>43159</v>
      </c>
      <c r="E1" s="4">
        <f t="shared" ref="E1:BP1" si="0">EOMONTH(D1,1)</f>
        <v>43190</v>
      </c>
      <c r="F1" s="4">
        <f t="shared" si="0"/>
        <v>43220</v>
      </c>
      <c r="G1" s="4">
        <f t="shared" si="0"/>
        <v>43251</v>
      </c>
      <c r="H1" s="4">
        <f t="shared" si="0"/>
        <v>43281</v>
      </c>
      <c r="I1" s="4">
        <f t="shared" si="0"/>
        <v>43312</v>
      </c>
      <c r="J1" s="4">
        <f t="shared" si="0"/>
        <v>43343</v>
      </c>
      <c r="K1" s="4">
        <f t="shared" si="0"/>
        <v>43373</v>
      </c>
      <c r="L1" s="4">
        <f t="shared" si="0"/>
        <v>43404</v>
      </c>
      <c r="M1" s="4">
        <f t="shared" si="0"/>
        <v>43434</v>
      </c>
      <c r="N1" s="4">
        <f t="shared" si="0"/>
        <v>43465</v>
      </c>
      <c r="O1" s="4">
        <f t="shared" si="0"/>
        <v>43496</v>
      </c>
      <c r="P1" s="4">
        <f t="shared" si="0"/>
        <v>43524</v>
      </c>
      <c r="Q1" s="4">
        <f t="shared" si="0"/>
        <v>43555</v>
      </c>
      <c r="R1" s="4">
        <f t="shared" si="0"/>
        <v>43585</v>
      </c>
      <c r="S1" s="4">
        <f t="shared" si="0"/>
        <v>43616</v>
      </c>
      <c r="T1" s="4">
        <f t="shared" si="0"/>
        <v>43646</v>
      </c>
      <c r="U1" s="4">
        <f t="shared" si="0"/>
        <v>43677</v>
      </c>
      <c r="V1" s="4">
        <f t="shared" si="0"/>
        <v>43708</v>
      </c>
      <c r="W1" s="4">
        <f t="shared" si="0"/>
        <v>43738</v>
      </c>
      <c r="X1" s="4">
        <f t="shared" si="0"/>
        <v>43769</v>
      </c>
      <c r="Y1" s="4">
        <f t="shared" si="0"/>
        <v>43799</v>
      </c>
      <c r="Z1" s="4">
        <f t="shared" si="0"/>
        <v>43830</v>
      </c>
      <c r="AA1" s="4">
        <f t="shared" si="0"/>
        <v>43861</v>
      </c>
      <c r="AB1" s="4">
        <f t="shared" si="0"/>
        <v>43890</v>
      </c>
      <c r="AC1" s="4">
        <f t="shared" si="0"/>
        <v>43921</v>
      </c>
      <c r="AD1" s="4">
        <f t="shared" si="0"/>
        <v>43951</v>
      </c>
      <c r="AE1" s="4">
        <f t="shared" si="0"/>
        <v>43982</v>
      </c>
      <c r="AF1" s="4">
        <f t="shared" si="0"/>
        <v>44012</v>
      </c>
      <c r="AG1" s="4">
        <f t="shared" si="0"/>
        <v>44043</v>
      </c>
      <c r="AH1" s="4">
        <f t="shared" si="0"/>
        <v>44074</v>
      </c>
      <c r="AI1" s="4">
        <f t="shared" si="0"/>
        <v>44104</v>
      </c>
      <c r="AJ1" s="4">
        <f t="shared" si="0"/>
        <v>44135</v>
      </c>
      <c r="AK1" s="4">
        <f t="shared" si="0"/>
        <v>44165</v>
      </c>
      <c r="AL1" s="4">
        <f t="shared" si="0"/>
        <v>44196</v>
      </c>
      <c r="AM1" s="4">
        <f t="shared" si="0"/>
        <v>44227</v>
      </c>
      <c r="AN1" s="4">
        <f t="shared" si="0"/>
        <v>44255</v>
      </c>
      <c r="AO1" s="4">
        <f t="shared" si="0"/>
        <v>44286</v>
      </c>
      <c r="AP1" s="4">
        <f t="shared" si="0"/>
        <v>44316</v>
      </c>
      <c r="AQ1" s="4">
        <f t="shared" si="0"/>
        <v>44347</v>
      </c>
      <c r="AR1" s="4">
        <f>EOMONTH(AQ1,1)</f>
        <v>44377</v>
      </c>
      <c r="AS1" s="4">
        <f t="shared" si="0"/>
        <v>44408</v>
      </c>
      <c r="AT1" s="4">
        <f t="shared" si="0"/>
        <v>44439</v>
      </c>
      <c r="AU1" s="4">
        <f t="shared" si="0"/>
        <v>44469</v>
      </c>
      <c r="AV1" s="4">
        <f t="shared" si="0"/>
        <v>44500</v>
      </c>
      <c r="AW1" s="4">
        <f t="shared" si="0"/>
        <v>44530</v>
      </c>
      <c r="AX1" s="4">
        <f t="shared" si="0"/>
        <v>44561</v>
      </c>
      <c r="AY1" s="4">
        <f t="shared" si="0"/>
        <v>44592</v>
      </c>
      <c r="AZ1" s="4">
        <f t="shared" si="0"/>
        <v>44620</v>
      </c>
      <c r="BA1" s="4">
        <f t="shared" si="0"/>
        <v>44651</v>
      </c>
      <c r="BB1" s="4">
        <f t="shared" si="0"/>
        <v>44681</v>
      </c>
      <c r="BC1" s="4">
        <f t="shared" si="0"/>
        <v>44712</v>
      </c>
      <c r="BD1" s="4">
        <f t="shared" si="0"/>
        <v>44742</v>
      </c>
      <c r="BE1" s="4">
        <f t="shared" si="0"/>
        <v>44773</v>
      </c>
      <c r="BF1" s="4">
        <f t="shared" si="0"/>
        <v>44804</v>
      </c>
      <c r="BG1" s="4">
        <f t="shared" si="0"/>
        <v>44834</v>
      </c>
      <c r="BH1" s="4">
        <f t="shared" si="0"/>
        <v>44865</v>
      </c>
      <c r="BI1" s="4">
        <f t="shared" si="0"/>
        <v>44895</v>
      </c>
      <c r="BJ1" s="4">
        <f t="shared" si="0"/>
        <v>44926</v>
      </c>
      <c r="BK1" s="4">
        <f t="shared" si="0"/>
        <v>44957</v>
      </c>
      <c r="BL1" s="4">
        <f t="shared" si="0"/>
        <v>44985</v>
      </c>
      <c r="BM1" s="4">
        <f t="shared" si="0"/>
        <v>45016</v>
      </c>
      <c r="BN1" s="4">
        <f t="shared" si="0"/>
        <v>45046</v>
      </c>
      <c r="BO1" s="4">
        <f t="shared" si="0"/>
        <v>45077</v>
      </c>
      <c r="BP1" s="4">
        <f t="shared" si="0"/>
        <v>45107</v>
      </c>
      <c r="BQ1" s="4">
        <f t="shared" ref="BQ1:DF1" si="1">EOMONTH(BP1,1)</f>
        <v>45138</v>
      </c>
      <c r="BR1" s="4">
        <f t="shared" si="1"/>
        <v>45169</v>
      </c>
      <c r="BS1" s="4">
        <f t="shared" si="1"/>
        <v>45199</v>
      </c>
      <c r="BT1" s="4">
        <f t="shared" si="1"/>
        <v>45230</v>
      </c>
      <c r="BU1" s="4">
        <f t="shared" si="1"/>
        <v>45260</v>
      </c>
      <c r="BV1" s="4">
        <f t="shared" si="1"/>
        <v>45291</v>
      </c>
      <c r="BW1" s="4">
        <f t="shared" si="1"/>
        <v>45322</v>
      </c>
      <c r="BX1" s="4">
        <f t="shared" si="1"/>
        <v>45351</v>
      </c>
      <c r="BY1" s="4">
        <f t="shared" si="1"/>
        <v>45382</v>
      </c>
      <c r="BZ1" s="4">
        <f t="shared" si="1"/>
        <v>45412</v>
      </c>
      <c r="CA1" s="4">
        <f t="shared" si="1"/>
        <v>45443</v>
      </c>
      <c r="CB1" s="4">
        <f t="shared" si="1"/>
        <v>45473</v>
      </c>
      <c r="CC1" s="4">
        <f t="shared" si="1"/>
        <v>45504</v>
      </c>
      <c r="CD1" s="4">
        <f t="shared" si="1"/>
        <v>45535</v>
      </c>
      <c r="CE1" s="4">
        <f t="shared" si="1"/>
        <v>45565</v>
      </c>
      <c r="CF1" s="4">
        <f t="shared" si="1"/>
        <v>45596</v>
      </c>
      <c r="CG1" s="4">
        <f t="shared" si="1"/>
        <v>45626</v>
      </c>
      <c r="CH1" s="4">
        <f t="shared" si="1"/>
        <v>45657</v>
      </c>
      <c r="CI1" s="4">
        <f t="shared" si="1"/>
        <v>45688</v>
      </c>
      <c r="CJ1" s="4">
        <f t="shared" si="1"/>
        <v>45716</v>
      </c>
      <c r="CK1" s="4">
        <f t="shared" si="1"/>
        <v>45747</v>
      </c>
      <c r="CL1" s="4">
        <f t="shared" si="1"/>
        <v>45777</v>
      </c>
      <c r="CM1" s="4">
        <f t="shared" si="1"/>
        <v>45808</v>
      </c>
      <c r="CN1" s="4">
        <f t="shared" si="1"/>
        <v>45838</v>
      </c>
      <c r="CO1" s="4">
        <f t="shared" si="1"/>
        <v>45869</v>
      </c>
      <c r="CP1" s="4">
        <f t="shared" si="1"/>
        <v>45900</v>
      </c>
      <c r="CQ1" s="4">
        <f t="shared" si="1"/>
        <v>45930</v>
      </c>
      <c r="CR1" s="4">
        <f t="shared" si="1"/>
        <v>45961</v>
      </c>
      <c r="CS1" s="4">
        <f t="shared" si="1"/>
        <v>45991</v>
      </c>
      <c r="CT1" s="4">
        <f t="shared" si="1"/>
        <v>46022</v>
      </c>
      <c r="CU1" s="4">
        <f t="shared" si="1"/>
        <v>46053</v>
      </c>
      <c r="CV1" s="4">
        <f t="shared" si="1"/>
        <v>46081</v>
      </c>
      <c r="CW1" s="4">
        <f t="shared" si="1"/>
        <v>46112</v>
      </c>
      <c r="CX1" s="4">
        <f t="shared" si="1"/>
        <v>46142</v>
      </c>
      <c r="CY1" s="4">
        <f t="shared" si="1"/>
        <v>46173</v>
      </c>
      <c r="CZ1" s="4">
        <f t="shared" si="1"/>
        <v>46203</v>
      </c>
      <c r="DA1" s="4">
        <f t="shared" si="1"/>
        <v>46234</v>
      </c>
      <c r="DB1" s="4">
        <f t="shared" si="1"/>
        <v>46265</v>
      </c>
      <c r="DC1" s="4">
        <f t="shared" si="1"/>
        <v>46295</v>
      </c>
      <c r="DD1" s="4">
        <f t="shared" si="1"/>
        <v>46326</v>
      </c>
      <c r="DE1" s="4">
        <f t="shared" si="1"/>
        <v>46356</v>
      </c>
      <c r="DF1" s="4">
        <f t="shared" si="1"/>
        <v>46387</v>
      </c>
      <c r="DG1" s="4"/>
      <c r="DH1" s="3" t="s">
        <v>2</v>
      </c>
    </row>
    <row r="2" spans="1:112" x14ac:dyDescent="0.2">
      <c r="A2" s="5" t="s">
        <v>3</v>
      </c>
      <c r="B2" s="5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416159.52</v>
      </c>
      <c r="V2" s="1">
        <v>778248.82</v>
      </c>
      <c r="W2" s="1">
        <v>2252195.8399999999</v>
      </c>
      <c r="X2" s="1">
        <v>2216368.6800000002</v>
      </c>
      <c r="Y2" s="1">
        <v>2978234.9699999997</v>
      </c>
      <c r="Z2" s="1">
        <v>2633806.0699999998</v>
      </c>
      <c r="AA2" s="1">
        <v>2587731.96</v>
      </c>
      <c r="AB2" s="1">
        <v>4294366.12</v>
      </c>
      <c r="AC2" s="1">
        <v>1588402.79</v>
      </c>
      <c r="AD2" s="1">
        <v>0</v>
      </c>
      <c r="AE2" s="1">
        <v>509</v>
      </c>
      <c r="AF2" s="1">
        <v>1189</v>
      </c>
      <c r="AG2" s="1">
        <v>179315</v>
      </c>
      <c r="AH2" s="1">
        <v>1008992</v>
      </c>
      <c r="AI2" s="1">
        <v>3958748.33</v>
      </c>
      <c r="AJ2" s="1">
        <v>6559859</v>
      </c>
      <c r="AK2" s="1">
        <v>6288248.6500000004</v>
      </c>
      <c r="AL2" s="1">
        <v>6415445.7999999998</v>
      </c>
      <c r="AM2" s="1">
        <v>7187193.6000000006</v>
      </c>
      <c r="AN2" s="1">
        <v>4469442.41</v>
      </c>
      <c r="AO2" s="1">
        <v>5947426.5899999999</v>
      </c>
      <c r="AP2" s="1">
        <v>4065703.2800000003</v>
      </c>
      <c r="AQ2" s="1">
        <v>3687207.2399999998</v>
      </c>
      <c r="AR2" s="1">
        <v>3895682.8</v>
      </c>
      <c r="AS2" s="1">
        <v>2908833.02</v>
      </c>
      <c r="AT2" s="1">
        <v>2892285.3499999996</v>
      </c>
      <c r="AU2" s="1">
        <v>7007774.3400000008</v>
      </c>
      <c r="AV2" s="1">
        <v>9506182.8900000006</v>
      </c>
      <c r="AW2" s="1">
        <v>8380191.3700000001</v>
      </c>
      <c r="AX2" s="1">
        <v>7794292.040000001</v>
      </c>
      <c r="AY2" s="1">
        <v>8775931.9399999995</v>
      </c>
      <c r="AZ2" s="1">
        <v>5876443.8599999994</v>
      </c>
      <c r="BA2" s="1">
        <v>10686500.560000001</v>
      </c>
      <c r="BB2" s="1">
        <v>8598226.0700000003</v>
      </c>
      <c r="BC2" s="1">
        <v>10185647.399999999</v>
      </c>
      <c r="BD2" s="1">
        <v>12632207</v>
      </c>
      <c r="BE2" s="1">
        <v>9290467.3499999996</v>
      </c>
      <c r="BF2" s="1">
        <v>10195911.4</v>
      </c>
      <c r="BG2" s="1">
        <v>21185546.599999998</v>
      </c>
      <c r="BH2" s="1">
        <v>26879106.82</v>
      </c>
      <c r="BI2" s="1">
        <v>30576009.02</v>
      </c>
      <c r="BJ2" s="1">
        <v>30936484.549999997</v>
      </c>
      <c r="BK2" s="1">
        <v>32976263.780000001</v>
      </c>
      <c r="BL2" s="1">
        <v>29532263.400000002</v>
      </c>
      <c r="BM2" s="1">
        <v>37474412.469999999</v>
      </c>
      <c r="BN2" s="1">
        <v>25452658.829999998</v>
      </c>
      <c r="BO2" s="1">
        <v>22777209.130000003</v>
      </c>
      <c r="BP2" s="1">
        <v>22708944.620000001</v>
      </c>
      <c r="BQ2" s="1">
        <v>17577626.449999999</v>
      </c>
      <c r="BR2" s="1">
        <v>22553214.32</v>
      </c>
      <c r="BS2" s="1">
        <v>41002256.590000004</v>
      </c>
      <c r="BT2" s="1">
        <v>44986802.890000001</v>
      </c>
      <c r="BU2" s="1">
        <v>54770448.689999998</v>
      </c>
      <c r="BV2" s="1">
        <v>52952226.109999999</v>
      </c>
      <c r="BW2" s="1">
        <v>50698700.740000002</v>
      </c>
      <c r="BX2" s="1">
        <v>40947811.469999999</v>
      </c>
      <c r="BY2" s="1">
        <v>50031696.43</v>
      </c>
      <c r="BZ2" s="1">
        <v>41763742.010000005</v>
      </c>
      <c r="CA2" s="1">
        <v>39823867.079999998</v>
      </c>
      <c r="CB2" s="1">
        <v>31416491.560000002</v>
      </c>
      <c r="CC2" s="1">
        <v>25464079.550000001</v>
      </c>
      <c r="CD2" s="1">
        <v>32207496.669999998</v>
      </c>
      <c r="CE2" s="1">
        <v>53056637.649999999</v>
      </c>
      <c r="CF2" s="1">
        <v>60435367.640000001</v>
      </c>
      <c r="CG2" s="1">
        <v>66058202.5</v>
      </c>
      <c r="CH2" s="1">
        <v>66015967.589999996</v>
      </c>
      <c r="CI2" s="1">
        <v>62347909.93</v>
      </c>
      <c r="CJ2" s="1">
        <v>46305952.030000001</v>
      </c>
      <c r="CK2" s="1">
        <v>65593041.780000001</v>
      </c>
      <c r="CL2" s="1">
        <v>48687247.379999995</v>
      </c>
      <c r="CM2" s="1">
        <v>47308478.669999994</v>
      </c>
      <c r="CN2" s="1">
        <v>37466071</v>
      </c>
      <c r="CO2" s="1">
        <v>29432610.48</v>
      </c>
      <c r="CP2" s="1">
        <v>40582487.619999997</v>
      </c>
      <c r="CQ2" s="1">
        <v>60574678.57</v>
      </c>
      <c r="CR2" s="1">
        <v>69528670.939999998</v>
      </c>
      <c r="CS2" s="1">
        <v>79322191.519999996</v>
      </c>
      <c r="CT2" s="1">
        <v>68775064.909999996</v>
      </c>
      <c r="CU2" s="1">
        <v>69684227.609999999</v>
      </c>
      <c r="CV2" s="1">
        <v>49437784.190000005</v>
      </c>
      <c r="CW2" s="1">
        <v>90241091.230000004</v>
      </c>
      <c r="CX2" s="1">
        <v>103949489.48999999</v>
      </c>
      <c r="CY2" s="1">
        <v>80879143.030000001</v>
      </c>
      <c r="CZ2" s="1">
        <v>72088959.670000002</v>
      </c>
      <c r="DA2" s="1">
        <v>62769917.540000007</v>
      </c>
      <c r="DB2" s="1">
        <v>56653499</v>
      </c>
      <c r="DC2" s="1">
        <v>0</v>
      </c>
      <c r="DD2" s="1">
        <v>0</v>
      </c>
      <c r="DE2" s="1">
        <v>0</v>
      </c>
      <c r="DF2" s="1">
        <v>0</v>
      </c>
      <c r="DH2" s="6">
        <f t="shared" ref="DH2:DH65" si="2">SUM(C2:DF2)</f>
        <v>2502031423.8100004</v>
      </c>
    </row>
    <row r="3" spans="1:112" x14ac:dyDescent="0.2">
      <c r="A3" s="5" t="s">
        <v>3</v>
      </c>
      <c r="B3" s="5" t="s">
        <v>42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>
        <v>3298264.75</v>
      </c>
      <c r="BB3" s="1">
        <v>3410042.37</v>
      </c>
      <c r="BC3" s="1">
        <v>6308525.0199999996</v>
      </c>
      <c r="BD3" s="1">
        <v>9329010.3000000007</v>
      </c>
      <c r="BE3" s="1">
        <v>6778235.1200000001</v>
      </c>
      <c r="BF3" s="1">
        <v>7172762.4700000007</v>
      </c>
      <c r="BG3" s="1">
        <v>15731317.379999999</v>
      </c>
      <c r="BH3" s="1">
        <v>20729197.050000001</v>
      </c>
      <c r="BI3" s="1">
        <v>24391543.969999999</v>
      </c>
      <c r="BJ3" s="1">
        <v>25159715.02</v>
      </c>
      <c r="BK3" s="1">
        <v>26138612.699999999</v>
      </c>
      <c r="BL3" s="1">
        <v>24858166.850000001</v>
      </c>
      <c r="BM3" s="1">
        <v>31942592.539999999</v>
      </c>
      <c r="BN3" s="1">
        <v>21893396.68</v>
      </c>
      <c r="BO3" s="1">
        <v>20166136.960000001</v>
      </c>
      <c r="BP3" s="1">
        <v>20293974.07</v>
      </c>
      <c r="BQ3" s="1">
        <v>15528317.52</v>
      </c>
      <c r="BR3" s="1">
        <v>20274233.32</v>
      </c>
      <c r="BS3" s="1">
        <v>35221812.240000002</v>
      </c>
      <c r="BT3" s="1">
        <v>39330810.530000001</v>
      </c>
      <c r="BU3" s="1">
        <v>49974522.530000001</v>
      </c>
      <c r="BV3" s="1">
        <v>48220992.789999999</v>
      </c>
      <c r="BW3" s="1">
        <v>46230366.100000001</v>
      </c>
      <c r="BX3" s="1">
        <v>37700810.189999998</v>
      </c>
      <c r="BY3" s="1">
        <v>46115370.579999998</v>
      </c>
      <c r="BZ3" s="1">
        <v>38623862.090000004</v>
      </c>
      <c r="CA3" s="1">
        <v>37330759.579999998</v>
      </c>
      <c r="CB3" s="1">
        <v>29511077.390000001</v>
      </c>
      <c r="CC3" s="1">
        <v>24021906.440000001</v>
      </c>
      <c r="CD3" s="1">
        <v>30128067.02</v>
      </c>
      <c r="CE3" s="1">
        <v>48882722.269999996</v>
      </c>
      <c r="CF3" s="1">
        <v>56473818.640000001</v>
      </c>
      <c r="CG3" s="1">
        <v>62119848.299999997</v>
      </c>
      <c r="CH3" s="1">
        <v>62254023.539999999</v>
      </c>
      <c r="CI3" s="1">
        <v>58106327.619999997</v>
      </c>
      <c r="CJ3" s="1">
        <v>42618545.620000005</v>
      </c>
      <c r="CK3" s="1">
        <v>61550280.57</v>
      </c>
      <c r="CL3" s="1">
        <v>46127336.329999998</v>
      </c>
      <c r="CM3" s="1">
        <v>44878380.159999996</v>
      </c>
      <c r="CN3" s="1">
        <v>35716095.299999997</v>
      </c>
      <c r="CO3" s="1">
        <v>28078082.84</v>
      </c>
      <c r="CP3" s="1">
        <v>38692047.039999999</v>
      </c>
      <c r="CQ3" s="1">
        <v>56706329.560000002</v>
      </c>
      <c r="CR3" s="1">
        <v>64951806.640000001</v>
      </c>
      <c r="CS3" s="1">
        <v>74951453.549999997</v>
      </c>
      <c r="CT3" s="1">
        <v>65179280.530000001</v>
      </c>
      <c r="CU3" s="1">
        <v>66053991.869999997</v>
      </c>
      <c r="CV3" s="1">
        <v>47193230.200000003</v>
      </c>
      <c r="CW3" s="1">
        <v>86573078.230000004</v>
      </c>
      <c r="CX3" s="1">
        <v>101980531.28</v>
      </c>
      <c r="CY3" s="1">
        <v>78746047.950000003</v>
      </c>
      <c r="CZ3" s="1">
        <v>70333008.730000004</v>
      </c>
      <c r="DA3" s="1">
        <v>61030381.730000004</v>
      </c>
      <c r="DB3" s="1">
        <v>54668798.32</v>
      </c>
      <c r="DC3" s="1">
        <v>0</v>
      </c>
      <c r="DD3" s="1">
        <v>0</v>
      </c>
      <c r="DE3" s="1">
        <v>0</v>
      </c>
      <c r="DF3" s="1">
        <v>0</v>
      </c>
      <c r="DH3" s="6">
        <f t="shared" si="2"/>
        <v>2179679848.3899999</v>
      </c>
    </row>
    <row r="4" spans="1:112" x14ac:dyDescent="0.2">
      <c r="A4" s="5" t="s">
        <v>3</v>
      </c>
      <c r="B4" s="5" t="s">
        <v>43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f t="shared" ref="U4:BN4" si="3">U2-U3</f>
        <v>416159.52</v>
      </c>
      <c r="V4" s="1">
        <f t="shared" si="3"/>
        <v>778248.82</v>
      </c>
      <c r="W4" s="1">
        <f t="shared" si="3"/>
        <v>2252195.8399999999</v>
      </c>
      <c r="X4" s="1">
        <f t="shared" si="3"/>
        <v>2216368.6800000002</v>
      </c>
      <c r="Y4" s="1">
        <f t="shared" si="3"/>
        <v>2978234.9699999997</v>
      </c>
      <c r="Z4" s="1">
        <f t="shared" si="3"/>
        <v>2633806.0699999998</v>
      </c>
      <c r="AA4" s="1">
        <f t="shared" si="3"/>
        <v>2587731.96</v>
      </c>
      <c r="AB4" s="1">
        <f t="shared" si="3"/>
        <v>4294366.12</v>
      </c>
      <c r="AC4" s="1">
        <f t="shared" si="3"/>
        <v>1588402.79</v>
      </c>
      <c r="AD4" s="1">
        <f t="shared" si="3"/>
        <v>0</v>
      </c>
      <c r="AE4" s="1">
        <f t="shared" si="3"/>
        <v>509</v>
      </c>
      <c r="AF4" s="1">
        <f t="shared" si="3"/>
        <v>1189</v>
      </c>
      <c r="AG4" s="1">
        <f t="shared" si="3"/>
        <v>179315</v>
      </c>
      <c r="AH4" s="1">
        <f t="shared" si="3"/>
        <v>1008992</v>
      </c>
      <c r="AI4" s="1">
        <f t="shared" si="3"/>
        <v>3958748.33</v>
      </c>
      <c r="AJ4" s="1">
        <f t="shared" si="3"/>
        <v>6559859</v>
      </c>
      <c r="AK4" s="1">
        <f t="shared" si="3"/>
        <v>6288248.6500000004</v>
      </c>
      <c r="AL4" s="1">
        <f t="shared" si="3"/>
        <v>6415445.7999999998</v>
      </c>
      <c r="AM4" s="1">
        <f t="shared" si="3"/>
        <v>7187193.6000000006</v>
      </c>
      <c r="AN4" s="1">
        <f t="shared" si="3"/>
        <v>4469442.41</v>
      </c>
      <c r="AO4" s="1">
        <f t="shared" si="3"/>
        <v>5947426.5899999999</v>
      </c>
      <c r="AP4" s="1">
        <f t="shared" si="3"/>
        <v>4065703.2800000003</v>
      </c>
      <c r="AQ4" s="1">
        <f t="shared" si="3"/>
        <v>3687207.2399999998</v>
      </c>
      <c r="AR4" s="1">
        <f t="shared" si="3"/>
        <v>3895682.8</v>
      </c>
      <c r="AS4" s="1">
        <f t="shared" si="3"/>
        <v>2908833.02</v>
      </c>
      <c r="AT4" s="1">
        <f t="shared" si="3"/>
        <v>2892285.3499999996</v>
      </c>
      <c r="AU4" s="1">
        <f t="shared" si="3"/>
        <v>7007774.3400000008</v>
      </c>
      <c r="AV4" s="1">
        <f t="shared" si="3"/>
        <v>9506182.8900000006</v>
      </c>
      <c r="AW4" s="1">
        <f t="shared" si="3"/>
        <v>8380191.3700000001</v>
      </c>
      <c r="AX4" s="1">
        <f t="shared" si="3"/>
        <v>7794292.040000001</v>
      </c>
      <c r="AY4" s="1">
        <f t="shared" si="3"/>
        <v>8775931.9399999995</v>
      </c>
      <c r="AZ4" s="1">
        <f t="shared" si="3"/>
        <v>5876443.8599999994</v>
      </c>
      <c r="BA4" s="1">
        <f t="shared" si="3"/>
        <v>7388235.8100000005</v>
      </c>
      <c r="BB4" s="1">
        <f t="shared" si="3"/>
        <v>5188183.7</v>
      </c>
      <c r="BC4" s="1">
        <f t="shared" si="3"/>
        <v>3877122.379999999</v>
      </c>
      <c r="BD4" s="1">
        <f t="shared" si="3"/>
        <v>3303196.6999999993</v>
      </c>
      <c r="BE4" s="1">
        <f t="shared" si="3"/>
        <v>2512232.2299999995</v>
      </c>
      <c r="BF4" s="1">
        <f t="shared" si="3"/>
        <v>3023148.9299999997</v>
      </c>
      <c r="BG4" s="1">
        <f t="shared" si="3"/>
        <v>5454229.2199999988</v>
      </c>
      <c r="BH4" s="1">
        <f t="shared" si="3"/>
        <v>6149909.7699999996</v>
      </c>
      <c r="BI4" s="1">
        <f t="shared" si="3"/>
        <v>6184465.0500000007</v>
      </c>
      <c r="BJ4" s="1">
        <f t="shared" si="3"/>
        <v>5776769.5299999975</v>
      </c>
      <c r="BK4" s="1">
        <f t="shared" si="3"/>
        <v>6837651.0800000019</v>
      </c>
      <c r="BL4" s="1">
        <f t="shared" si="3"/>
        <v>4674096.5500000007</v>
      </c>
      <c r="BM4" s="1">
        <f t="shared" si="3"/>
        <v>5531819.9299999997</v>
      </c>
      <c r="BN4" s="1">
        <f t="shared" si="3"/>
        <v>3559262.1499999985</v>
      </c>
      <c r="BO4" s="1">
        <f>BO2-BO3</f>
        <v>2611072.1700000018</v>
      </c>
      <c r="BP4" s="1">
        <f t="shared" ref="BP4:DF4" si="4">BP2-BP3</f>
        <v>2414970.5500000007</v>
      </c>
      <c r="BQ4" s="1">
        <f t="shared" si="4"/>
        <v>2049308.9299999997</v>
      </c>
      <c r="BR4" s="1">
        <f t="shared" si="4"/>
        <v>2278981</v>
      </c>
      <c r="BS4" s="1">
        <f t="shared" si="4"/>
        <v>5780444.3500000015</v>
      </c>
      <c r="BT4" s="1">
        <f t="shared" si="4"/>
        <v>5655992.3599999994</v>
      </c>
      <c r="BU4" s="1">
        <f t="shared" si="4"/>
        <v>4795926.1599999964</v>
      </c>
      <c r="BV4" s="1">
        <f t="shared" si="4"/>
        <v>4731233.32</v>
      </c>
      <c r="BW4" s="1">
        <f t="shared" si="4"/>
        <v>4468334.6400000006</v>
      </c>
      <c r="BX4" s="1">
        <f t="shared" si="4"/>
        <v>3247001.2800000012</v>
      </c>
      <c r="BY4" s="1">
        <f t="shared" si="4"/>
        <v>3916325.8500000015</v>
      </c>
      <c r="BZ4" s="1">
        <f t="shared" si="4"/>
        <v>3139879.9200000018</v>
      </c>
      <c r="CA4" s="1">
        <f t="shared" si="4"/>
        <v>2493107.5</v>
      </c>
      <c r="CB4" s="1">
        <f t="shared" si="4"/>
        <v>1905414.1700000018</v>
      </c>
      <c r="CC4" s="1">
        <f t="shared" si="4"/>
        <v>1442173.1099999994</v>
      </c>
      <c r="CD4" s="1">
        <f t="shared" si="4"/>
        <v>2079429.6499999985</v>
      </c>
      <c r="CE4" s="1">
        <f t="shared" si="4"/>
        <v>4173915.3800000027</v>
      </c>
      <c r="CF4" s="1">
        <f t="shared" si="4"/>
        <v>3961549</v>
      </c>
      <c r="CG4" s="1">
        <f t="shared" si="4"/>
        <v>3938354.200000003</v>
      </c>
      <c r="CH4" s="1">
        <f t="shared" si="4"/>
        <v>3761944.049999997</v>
      </c>
      <c r="CI4" s="1">
        <f t="shared" si="4"/>
        <v>4241582.3100000024</v>
      </c>
      <c r="CJ4" s="1">
        <f t="shared" si="4"/>
        <v>3687406.4099999964</v>
      </c>
      <c r="CK4" s="1">
        <f t="shared" si="4"/>
        <v>4042761.2100000009</v>
      </c>
      <c r="CL4" s="1">
        <f t="shared" si="4"/>
        <v>2559911.049999997</v>
      </c>
      <c r="CM4" s="1">
        <f t="shared" si="4"/>
        <v>2430098.5099999979</v>
      </c>
      <c r="CN4" s="1">
        <f t="shared" si="4"/>
        <v>1749975.700000003</v>
      </c>
      <c r="CO4" s="1">
        <f t="shared" si="4"/>
        <v>1354527.6400000006</v>
      </c>
      <c r="CP4" s="1">
        <f t="shared" si="4"/>
        <v>1890440.5799999982</v>
      </c>
      <c r="CQ4" s="1">
        <f t="shared" si="4"/>
        <v>3868349.0099999979</v>
      </c>
      <c r="CR4" s="1">
        <f t="shared" si="4"/>
        <v>4576864.299999997</v>
      </c>
      <c r="CS4" s="1">
        <f t="shared" si="4"/>
        <v>4370737.9699999988</v>
      </c>
      <c r="CT4" s="1">
        <f t="shared" si="4"/>
        <v>3595784.3799999952</v>
      </c>
      <c r="CU4" s="1">
        <f t="shared" si="4"/>
        <v>3630235.7400000021</v>
      </c>
      <c r="CV4" s="1">
        <f t="shared" si="4"/>
        <v>2244553.9900000021</v>
      </c>
      <c r="CW4" s="1">
        <f t="shared" si="4"/>
        <v>3668013</v>
      </c>
      <c r="CX4" s="1">
        <f t="shared" si="4"/>
        <v>1968958.2099999934</v>
      </c>
      <c r="CY4" s="1">
        <f t="shared" si="4"/>
        <v>2133095.0799999982</v>
      </c>
      <c r="CZ4" s="1">
        <f t="shared" si="4"/>
        <v>1755950.9399999976</v>
      </c>
      <c r="DA4" s="1">
        <f t="shared" si="4"/>
        <v>1739535.8100000024</v>
      </c>
      <c r="DB4" s="1">
        <f t="shared" si="4"/>
        <v>1984700.6799999997</v>
      </c>
      <c r="DC4" s="1">
        <f t="shared" si="4"/>
        <v>0</v>
      </c>
      <c r="DD4" s="1">
        <f t="shared" si="4"/>
        <v>0</v>
      </c>
      <c r="DE4" s="1">
        <f t="shared" si="4"/>
        <v>0</v>
      </c>
      <c r="DF4" s="1">
        <f t="shared" si="4"/>
        <v>0</v>
      </c>
      <c r="DH4" s="6">
        <f t="shared" si="2"/>
        <v>322351575.42000002</v>
      </c>
    </row>
    <row r="5" spans="1:112" x14ac:dyDescent="0.2">
      <c r="A5" s="5" t="s">
        <v>3</v>
      </c>
      <c r="B5" s="5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76884.590000000026</v>
      </c>
      <c r="V5" s="1">
        <v>58857.739999999991</v>
      </c>
      <c r="W5" s="1">
        <v>183043.57999999984</v>
      </c>
      <c r="X5" s="1">
        <v>380005.77</v>
      </c>
      <c r="Y5" s="1">
        <v>181497.39399999985</v>
      </c>
      <c r="Z5" s="1">
        <v>455367.77</v>
      </c>
      <c r="AA5" s="1">
        <v>254811.33000000007</v>
      </c>
      <c r="AB5" s="1">
        <v>411588.60999999987</v>
      </c>
      <c r="AC5" s="1">
        <v>222373.01</v>
      </c>
      <c r="AD5" s="1">
        <v>0</v>
      </c>
      <c r="AE5" s="1">
        <v>-115</v>
      </c>
      <c r="AF5" s="1">
        <v>10</v>
      </c>
      <c r="AG5" s="1">
        <v>-19633</v>
      </c>
      <c r="AH5" s="1">
        <v>69625</v>
      </c>
      <c r="AI5" s="1">
        <v>397094.83000000007</v>
      </c>
      <c r="AJ5" s="1">
        <v>940513.08000000007</v>
      </c>
      <c r="AK5" s="1">
        <v>975983.66999999993</v>
      </c>
      <c r="AL5" s="1">
        <v>1054272.6999999993</v>
      </c>
      <c r="AM5" s="1">
        <v>1388257.7500000009</v>
      </c>
      <c r="AN5" s="1">
        <v>655354.81000000052</v>
      </c>
      <c r="AO5" s="1">
        <v>807091.0700000003</v>
      </c>
      <c r="AP5" s="1">
        <v>761535.13000000035</v>
      </c>
      <c r="AQ5" s="1">
        <v>508325.4299999997</v>
      </c>
      <c r="AR5" s="1">
        <v>359000.25</v>
      </c>
      <c r="AS5" s="1">
        <v>449040.4700000002</v>
      </c>
      <c r="AT5" s="1">
        <v>310481.14999999944</v>
      </c>
      <c r="AU5" s="1">
        <v>809404.29000000097</v>
      </c>
      <c r="AV5" s="1">
        <v>803567.47000000067</v>
      </c>
      <c r="AW5" s="1">
        <v>1623434.0700000003</v>
      </c>
      <c r="AX5" s="1">
        <v>47599.330000001937</v>
      </c>
      <c r="AY5" s="1">
        <v>1181335.3999999994</v>
      </c>
      <c r="AZ5" s="1">
        <v>331001.45999999903</v>
      </c>
      <c r="BA5" s="1">
        <v>791847.06000000052</v>
      </c>
      <c r="BB5" s="1">
        <v>749809.56000000052</v>
      </c>
      <c r="BC5" s="1">
        <v>583015.47999999858</v>
      </c>
      <c r="BD5" s="1">
        <v>4044.9799999985844</v>
      </c>
      <c r="BE5" s="1">
        <v>854435.8200000003</v>
      </c>
      <c r="BF5" s="1">
        <v>1015338.5600000005</v>
      </c>
      <c r="BG5" s="1">
        <v>3208032.3099999987</v>
      </c>
      <c r="BH5" s="1">
        <v>2793719.1899999976</v>
      </c>
      <c r="BI5" s="1">
        <v>2999449.7300000004</v>
      </c>
      <c r="BJ5" s="1">
        <v>3409971.7599999979</v>
      </c>
      <c r="BK5" s="1">
        <v>2868243.5300000012</v>
      </c>
      <c r="BL5" s="1">
        <v>1709714.0500000007</v>
      </c>
      <c r="BM5" s="1">
        <v>4264046.9199999981</v>
      </c>
      <c r="BN5" s="1">
        <v>2336022.6299999952</v>
      </c>
      <c r="BO5" s="1">
        <v>2293280.8100000024</v>
      </c>
      <c r="BP5" s="1">
        <v>1334972.7700000033</v>
      </c>
      <c r="BQ5" s="1">
        <v>2077422.1099999994</v>
      </c>
      <c r="BR5" s="1">
        <v>1673538.3100000024</v>
      </c>
      <c r="BS5" s="1">
        <v>4026260.9700000063</v>
      </c>
      <c r="BT5" s="1">
        <v>5825160.75</v>
      </c>
      <c r="BU5" s="1">
        <v>3018845.2099999934</v>
      </c>
      <c r="BV5" s="1">
        <v>5762756.5799999982</v>
      </c>
      <c r="BW5" s="1">
        <v>5855921.3700000048</v>
      </c>
      <c r="BX5" s="1">
        <v>2672209.3699999973</v>
      </c>
      <c r="BY5" s="1">
        <v>3406749.1599999964</v>
      </c>
      <c r="BZ5" s="1">
        <v>3788711.9699999988</v>
      </c>
      <c r="CA5" s="1">
        <v>3556977.2899999991</v>
      </c>
      <c r="CB5" s="1">
        <v>3227768.9900000021</v>
      </c>
      <c r="CC5" s="1">
        <v>2677225.1799999997</v>
      </c>
      <c r="CD5" s="1">
        <v>1941927.1999999955</v>
      </c>
      <c r="CE5" s="1">
        <v>6918340.9600000009</v>
      </c>
      <c r="CF5" s="1">
        <v>3150162.4600000009</v>
      </c>
      <c r="CG5" s="1">
        <v>9201129.9399999976</v>
      </c>
      <c r="CH5" s="1">
        <v>2282774.1999999955</v>
      </c>
      <c r="CI5" s="1">
        <v>6931367.1499999985</v>
      </c>
      <c r="CJ5" s="1">
        <v>4386889.640000008</v>
      </c>
      <c r="CK5" s="1">
        <v>1703064.8100000024</v>
      </c>
      <c r="CL5" s="1">
        <v>4542659.7099999934</v>
      </c>
      <c r="CM5" s="1">
        <v>4706466.349999994</v>
      </c>
      <c r="CN5" s="1">
        <v>4888918.7199999988</v>
      </c>
      <c r="CO5" s="1">
        <v>3427538.6400000006</v>
      </c>
      <c r="CP5" s="1">
        <v>4262473.8500000015</v>
      </c>
      <c r="CQ5" s="1">
        <v>5646455.1799999997</v>
      </c>
      <c r="CR5" s="1">
        <v>6292685.859999992</v>
      </c>
      <c r="CS5" s="1">
        <v>6691920.6599999815</v>
      </c>
      <c r="CT5" s="1">
        <v>8053867.5600000024</v>
      </c>
      <c r="CU5" s="1">
        <v>7797043.1900000051</v>
      </c>
      <c r="CV5" s="1">
        <v>4475573.0900000036</v>
      </c>
      <c r="CW5" s="1">
        <v>-7835914.7599999905</v>
      </c>
      <c r="CX5" s="1">
        <v>-603909.82000000775</v>
      </c>
      <c r="CY5" s="1">
        <v>6988923.8200000077</v>
      </c>
      <c r="CZ5" s="1">
        <v>5789446.6400000006</v>
      </c>
      <c r="DA5" s="1">
        <v>7210085.6200000122</v>
      </c>
      <c r="DB5" s="1">
        <v>5543614.9999999925</v>
      </c>
      <c r="DC5" s="1">
        <v>0</v>
      </c>
      <c r="DD5" s="1">
        <v>0</v>
      </c>
      <c r="DE5" s="1">
        <v>0</v>
      </c>
      <c r="DF5" s="1">
        <v>0</v>
      </c>
      <c r="DH5" s="6">
        <f t="shared" si="2"/>
        <v>208856607.2439999</v>
      </c>
    </row>
    <row r="6" spans="1:112" x14ac:dyDescent="0.2">
      <c r="A6" s="5" t="s">
        <v>3</v>
      </c>
      <c r="B6" s="5" t="s">
        <v>44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>
        <v>-32154.620000000112</v>
      </c>
      <c r="BB6" s="1">
        <v>183966.29000000004</v>
      </c>
      <c r="BC6" s="1">
        <v>227744.68999999948</v>
      </c>
      <c r="BD6" s="1">
        <v>-106134.8200000003</v>
      </c>
      <c r="BE6" s="1">
        <v>478737.24000000022</v>
      </c>
      <c r="BF6" s="1">
        <v>553118.78000000026</v>
      </c>
      <c r="BG6" s="1">
        <v>2339717.25</v>
      </c>
      <c r="BH6" s="1">
        <v>1986966.2699999996</v>
      </c>
      <c r="BI6" s="1">
        <v>2308372.84</v>
      </c>
      <c r="BJ6" s="1">
        <v>2613596.8199999994</v>
      </c>
      <c r="BK6" s="1">
        <v>2168481.25</v>
      </c>
      <c r="BL6" s="1">
        <v>1345441.5</v>
      </c>
      <c r="BM6" s="1">
        <v>3452709.04</v>
      </c>
      <c r="BN6" s="1">
        <v>1959339.4899999993</v>
      </c>
      <c r="BO6" s="1">
        <v>1938646.9400000004</v>
      </c>
      <c r="BP6" s="1">
        <v>1203863.3700000001</v>
      </c>
      <c r="BQ6" s="1">
        <v>1737769.9900000002</v>
      </c>
      <c r="BR6" s="1">
        <v>1376885.5600000005</v>
      </c>
      <c r="BS6" s="1">
        <v>3700988.870000001</v>
      </c>
      <c r="BT6" s="1">
        <v>4841461.0399999991</v>
      </c>
      <c r="BU6" s="1">
        <v>2660697.5499999989</v>
      </c>
      <c r="BV6" s="1">
        <v>5032570.5699999984</v>
      </c>
      <c r="BW6" s="1">
        <v>4987306.5299999993</v>
      </c>
      <c r="BX6" s="1">
        <v>2272950.5199999996</v>
      </c>
      <c r="BY6" s="1">
        <v>2960929.1300000008</v>
      </c>
      <c r="BZ6" s="1">
        <v>3452761.459999999</v>
      </c>
      <c r="CA6" s="1">
        <v>3182626.040000001</v>
      </c>
      <c r="CB6" s="1">
        <v>3017724.9799999995</v>
      </c>
      <c r="CC6" s="1">
        <v>2495681.8200000003</v>
      </c>
      <c r="CD6" s="1">
        <v>1802798.3099999996</v>
      </c>
      <c r="CE6" s="1">
        <v>6102956.4100000001</v>
      </c>
      <c r="CF6" s="1">
        <v>2985235.5200000014</v>
      </c>
      <c r="CG6" s="1">
        <v>8387290.1699999999</v>
      </c>
      <c r="CH6" s="1">
        <v>2136533.3199999984</v>
      </c>
      <c r="CI6" s="1">
        <v>6525035.7899999991</v>
      </c>
      <c r="CJ6" s="1">
        <v>4109013.71</v>
      </c>
      <c r="CK6" s="1">
        <v>1280884.4900000002</v>
      </c>
      <c r="CL6" s="1">
        <v>4338593.54</v>
      </c>
      <c r="CM6" s="1">
        <v>4357408.26</v>
      </c>
      <c r="CN6" s="1">
        <v>4609675.3</v>
      </c>
      <c r="CO6" s="1">
        <v>3168394.69</v>
      </c>
      <c r="CP6" s="1">
        <v>3977904.49</v>
      </c>
      <c r="CQ6" s="1">
        <v>5188685.41</v>
      </c>
      <c r="CR6" s="1">
        <v>5868034.0200000005</v>
      </c>
      <c r="CS6" s="1">
        <v>6390162.120000001</v>
      </c>
      <c r="CT6" s="1">
        <v>7478207.9799999986</v>
      </c>
      <c r="CU6" s="1">
        <v>7200211</v>
      </c>
      <c r="CV6" s="1">
        <v>4219630.22</v>
      </c>
      <c r="CW6" s="1">
        <v>-8165366.1600000001</v>
      </c>
      <c r="CX6" s="1">
        <v>-790232.25</v>
      </c>
      <c r="CY6" s="1">
        <v>6930479.9100000001</v>
      </c>
      <c r="CZ6" s="1">
        <v>5571750.3900000006</v>
      </c>
      <c r="DA6" s="1">
        <v>6985534.1799999997</v>
      </c>
      <c r="DB6" s="1">
        <v>5409895.4499999993</v>
      </c>
      <c r="DC6" s="1">
        <v>0</v>
      </c>
      <c r="DD6" s="1">
        <v>0</v>
      </c>
      <c r="DE6" s="1">
        <v>0</v>
      </c>
      <c r="DF6" s="1">
        <v>0</v>
      </c>
      <c r="DH6" s="6">
        <f t="shared" si="2"/>
        <v>170411482.65999997</v>
      </c>
    </row>
    <row r="7" spans="1:112" x14ac:dyDescent="0.2">
      <c r="A7" s="5" t="s">
        <v>3</v>
      </c>
      <c r="B7" s="5" t="s">
        <v>45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f t="shared" ref="U7:BN7" si="5">U5-U6</f>
        <v>76884.590000000026</v>
      </c>
      <c r="V7" s="1">
        <f t="shared" si="5"/>
        <v>58857.739999999991</v>
      </c>
      <c r="W7" s="1">
        <f t="shared" si="5"/>
        <v>183043.57999999984</v>
      </c>
      <c r="X7" s="1">
        <f t="shared" si="5"/>
        <v>380005.77</v>
      </c>
      <c r="Y7" s="1">
        <f t="shared" si="5"/>
        <v>181497.39399999985</v>
      </c>
      <c r="Z7" s="1">
        <f t="shared" si="5"/>
        <v>455367.77</v>
      </c>
      <c r="AA7" s="1">
        <f t="shared" si="5"/>
        <v>254811.33000000007</v>
      </c>
      <c r="AB7" s="1">
        <f t="shared" si="5"/>
        <v>411588.60999999987</v>
      </c>
      <c r="AC7" s="1">
        <f t="shared" si="5"/>
        <v>222373.01</v>
      </c>
      <c r="AD7" s="1">
        <f t="shared" si="5"/>
        <v>0</v>
      </c>
      <c r="AE7" s="1">
        <f t="shared" si="5"/>
        <v>-115</v>
      </c>
      <c r="AF7" s="1">
        <f t="shared" si="5"/>
        <v>10</v>
      </c>
      <c r="AG7" s="1">
        <f t="shared" si="5"/>
        <v>-19633</v>
      </c>
      <c r="AH7" s="1">
        <f t="shared" si="5"/>
        <v>69625</v>
      </c>
      <c r="AI7" s="1">
        <f t="shared" si="5"/>
        <v>397094.83000000007</v>
      </c>
      <c r="AJ7" s="1">
        <f t="shared" si="5"/>
        <v>940513.08000000007</v>
      </c>
      <c r="AK7" s="1">
        <f t="shared" si="5"/>
        <v>975983.66999999993</v>
      </c>
      <c r="AL7" s="1">
        <f t="shared" si="5"/>
        <v>1054272.6999999993</v>
      </c>
      <c r="AM7" s="1">
        <f t="shared" si="5"/>
        <v>1388257.7500000009</v>
      </c>
      <c r="AN7" s="1">
        <f t="shared" si="5"/>
        <v>655354.81000000052</v>
      </c>
      <c r="AO7" s="1">
        <f t="shared" si="5"/>
        <v>807091.0700000003</v>
      </c>
      <c r="AP7" s="1">
        <f t="shared" si="5"/>
        <v>761535.13000000035</v>
      </c>
      <c r="AQ7" s="1">
        <f t="shared" si="5"/>
        <v>508325.4299999997</v>
      </c>
      <c r="AR7" s="1">
        <f t="shared" si="5"/>
        <v>359000.25</v>
      </c>
      <c r="AS7" s="1">
        <f t="shared" si="5"/>
        <v>449040.4700000002</v>
      </c>
      <c r="AT7" s="1">
        <f t="shared" si="5"/>
        <v>310481.14999999944</v>
      </c>
      <c r="AU7" s="1">
        <f t="shared" si="5"/>
        <v>809404.29000000097</v>
      </c>
      <c r="AV7" s="1">
        <f t="shared" si="5"/>
        <v>803567.47000000067</v>
      </c>
      <c r="AW7" s="1">
        <f t="shared" si="5"/>
        <v>1623434.0700000003</v>
      </c>
      <c r="AX7" s="1">
        <f t="shared" si="5"/>
        <v>47599.330000001937</v>
      </c>
      <c r="AY7" s="1">
        <f t="shared" si="5"/>
        <v>1181335.3999999994</v>
      </c>
      <c r="AZ7" s="1">
        <f t="shared" si="5"/>
        <v>331001.45999999903</v>
      </c>
      <c r="BA7" s="1">
        <f t="shared" si="5"/>
        <v>824001.68000000063</v>
      </c>
      <c r="BB7" s="1">
        <f t="shared" si="5"/>
        <v>565843.27000000048</v>
      </c>
      <c r="BC7" s="1">
        <f t="shared" si="5"/>
        <v>355270.78999999911</v>
      </c>
      <c r="BD7" s="1">
        <f t="shared" si="5"/>
        <v>110179.79999999888</v>
      </c>
      <c r="BE7" s="1">
        <f t="shared" si="5"/>
        <v>375698.58000000007</v>
      </c>
      <c r="BF7" s="1">
        <f t="shared" si="5"/>
        <v>462219.78000000026</v>
      </c>
      <c r="BG7" s="1">
        <f t="shared" si="5"/>
        <v>868315.05999999866</v>
      </c>
      <c r="BH7" s="1">
        <f t="shared" si="5"/>
        <v>806752.91999999806</v>
      </c>
      <c r="BI7" s="1">
        <f t="shared" si="5"/>
        <v>691076.8900000006</v>
      </c>
      <c r="BJ7" s="1">
        <f t="shared" si="5"/>
        <v>796374.93999999855</v>
      </c>
      <c r="BK7" s="1">
        <f t="shared" si="5"/>
        <v>699762.28000000119</v>
      </c>
      <c r="BL7" s="1">
        <f t="shared" si="5"/>
        <v>364272.55000000075</v>
      </c>
      <c r="BM7" s="1">
        <f t="shared" si="5"/>
        <v>811337.87999999803</v>
      </c>
      <c r="BN7" s="1">
        <f t="shared" si="5"/>
        <v>376683.13999999594</v>
      </c>
      <c r="BO7" s="1">
        <f>BO5-BO6</f>
        <v>354633.87000000197</v>
      </c>
      <c r="BP7" s="1">
        <f t="shared" ref="BP7:DF7" si="6">BP5-BP6</f>
        <v>131109.40000000317</v>
      </c>
      <c r="BQ7" s="1">
        <f t="shared" si="6"/>
        <v>339652.11999999918</v>
      </c>
      <c r="BR7" s="1">
        <f t="shared" si="6"/>
        <v>296652.75000000186</v>
      </c>
      <c r="BS7" s="1">
        <f t="shared" si="6"/>
        <v>325272.10000000522</v>
      </c>
      <c r="BT7" s="1">
        <f t="shared" si="6"/>
        <v>983699.71000000089</v>
      </c>
      <c r="BU7" s="1">
        <f t="shared" si="6"/>
        <v>358147.65999999456</v>
      </c>
      <c r="BV7" s="1">
        <f t="shared" si="6"/>
        <v>730186.00999999978</v>
      </c>
      <c r="BW7" s="1">
        <f t="shared" si="6"/>
        <v>868614.84000000544</v>
      </c>
      <c r="BX7" s="1">
        <f t="shared" si="6"/>
        <v>399258.84999999776</v>
      </c>
      <c r="BY7" s="1">
        <f t="shared" si="6"/>
        <v>445820.0299999956</v>
      </c>
      <c r="BZ7" s="1">
        <f t="shared" si="6"/>
        <v>335950.50999999978</v>
      </c>
      <c r="CA7" s="1">
        <f t="shared" si="6"/>
        <v>374351.24999999814</v>
      </c>
      <c r="CB7" s="1">
        <f t="shared" si="6"/>
        <v>210044.01000000257</v>
      </c>
      <c r="CC7" s="1">
        <f t="shared" si="6"/>
        <v>181543.3599999994</v>
      </c>
      <c r="CD7" s="1">
        <f t="shared" si="6"/>
        <v>139128.88999999594</v>
      </c>
      <c r="CE7" s="1">
        <f t="shared" si="6"/>
        <v>815384.55000000075</v>
      </c>
      <c r="CF7" s="1">
        <f t="shared" si="6"/>
        <v>164926.93999999948</v>
      </c>
      <c r="CG7" s="1">
        <f t="shared" si="6"/>
        <v>813839.76999999769</v>
      </c>
      <c r="CH7" s="1">
        <f t="shared" si="6"/>
        <v>146240.87999999709</v>
      </c>
      <c r="CI7" s="1">
        <f t="shared" si="6"/>
        <v>406331.3599999994</v>
      </c>
      <c r="CJ7" s="1">
        <f t="shared" si="6"/>
        <v>277875.93000000808</v>
      </c>
      <c r="CK7" s="1">
        <f t="shared" si="6"/>
        <v>422180.32000000216</v>
      </c>
      <c r="CL7" s="1">
        <f t="shared" si="6"/>
        <v>204066.16999999341</v>
      </c>
      <c r="CM7" s="1">
        <f t="shared" si="6"/>
        <v>349058.08999999426</v>
      </c>
      <c r="CN7" s="1">
        <f t="shared" si="6"/>
        <v>279243.41999999899</v>
      </c>
      <c r="CO7" s="1">
        <f t="shared" si="6"/>
        <v>259143.95000000065</v>
      </c>
      <c r="CP7" s="1">
        <f t="shared" si="6"/>
        <v>284569.36000000127</v>
      </c>
      <c r="CQ7" s="1">
        <f t="shared" si="6"/>
        <v>457769.76999999955</v>
      </c>
      <c r="CR7" s="1">
        <f t="shared" si="6"/>
        <v>424651.83999999147</v>
      </c>
      <c r="CS7" s="1">
        <f t="shared" si="6"/>
        <v>301758.53999998048</v>
      </c>
      <c r="CT7" s="1">
        <f t="shared" si="6"/>
        <v>575659.5800000038</v>
      </c>
      <c r="CU7" s="1">
        <f t="shared" si="6"/>
        <v>596832.19000000507</v>
      </c>
      <c r="CV7" s="1">
        <f t="shared" si="6"/>
        <v>255942.87000000384</v>
      </c>
      <c r="CW7" s="1">
        <f t="shared" si="6"/>
        <v>329451.40000000969</v>
      </c>
      <c r="CX7" s="1">
        <f t="shared" si="6"/>
        <v>186322.42999999225</v>
      </c>
      <c r="CY7" s="1">
        <f t="shared" si="6"/>
        <v>58443.9100000076</v>
      </c>
      <c r="CZ7" s="1">
        <f t="shared" si="6"/>
        <v>217696.25</v>
      </c>
      <c r="DA7" s="1">
        <f t="shared" si="6"/>
        <v>224551.44000001252</v>
      </c>
      <c r="DB7" s="1">
        <f t="shared" si="6"/>
        <v>133719.54999999329</v>
      </c>
      <c r="DC7" s="1">
        <f t="shared" si="6"/>
        <v>0</v>
      </c>
      <c r="DD7" s="1">
        <f t="shared" si="6"/>
        <v>0</v>
      </c>
      <c r="DE7" s="1">
        <f t="shared" si="6"/>
        <v>0</v>
      </c>
      <c r="DF7" s="1">
        <f t="shared" si="6"/>
        <v>0</v>
      </c>
      <c r="DH7" s="6">
        <f t="shared" si="2"/>
        <v>38445124.583999977</v>
      </c>
    </row>
    <row r="8" spans="1:112" x14ac:dyDescent="0.2">
      <c r="A8" s="5" t="s">
        <v>3</v>
      </c>
      <c r="B8" s="5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76884.590000000026</v>
      </c>
      <c r="V8" s="1">
        <v>58857.739999999991</v>
      </c>
      <c r="W8" s="1">
        <v>183043.57999999984</v>
      </c>
      <c r="X8" s="1">
        <v>380005.77</v>
      </c>
      <c r="Y8" s="1">
        <v>181497.39399999985</v>
      </c>
      <c r="Z8" s="1">
        <v>455367.77</v>
      </c>
      <c r="AA8" s="1">
        <v>254811.33000000007</v>
      </c>
      <c r="AB8" s="1">
        <v>411588.60999999987</v>
      </c>
      <c r="AC8" s="1">
        <v>222373.01</v>
      </c>
      <c r="AD8" s="1">
        <v>0</v>
      </c>
      <c r="AE8" s="1">
        <v>-115</v>
      </c>
      <c r="AF8" s="1">
        <v>10</v>
      </c>
      <c r="AG8" s="1">
        <v>-19633</v>
      </c>
      <c r="AH8" s="1">
        <v>69625</v>
      </c>
      <c r="AI8" s="1">
        <v>397094.83000000007</v>
      </c>
      <c r="AJ8" s="1">
        <v>940513.08000000007</v>
      </c>
      <c r="AK8" s="1">
        <v>975983.66999999993</v>
      </c>
      <c r="AL8" s="1">
        <v>1054272.6999999993</v>
      </c>
      <c r="AM8" s="1">
        <v>1388257.7500000009</v>
      </c>
      <c r="AN8" s="1">
        <v>655354.81000000052</v>
      </c>
      <c r="AO8" s="1">
        <v>807091.0700000003</v>
      </c>
      <c r="AP8" s="1">
        <v>761535.13000000035</v>
      </c>
      <c r="AQ8" s="1">
        <v>508325.4299999997</v>
      </c>
      <c r="AR8" s="1">
        <v>359000.25</v>
      </c>
      <c r="AS8" s="1">
        <v>449040.4700000002</v>
      </c>
      <c r="AT8" s="1">
        <v>310481.14999999944</v>
      </c>
      <c r="AU8" s="1">
        <v>809404.29000000097</v>
      </c>
      <c r="AV8" s="1">
        <v>803567.47000000067</v>
      </c>
      <c r="AW8" s="1">
        <v>1623434.0700000003</v>
      </c>
      <c r="AX8" s="1">
        <v>47599.330000001937</v>
      </c>
      <c r="AY8" s="1">
        <v>1181335.3999999994</v>
      </c>
      <c r="AZ8" s="1">
        <v>331001.45999999903</v>
      </c>
      <c r="BA8" s="1">
        <v>791847.06000000052</v>
      </c>
      <c r="BB8" s="1">
        <v>749809.56000000052</v>
      </c>
      <c r="BC8" s="1">
        <v>583015.47999999858</v>
      </c>
      <c r="BD8" s="1">
        <v>4044.9799999985844</v>
      </c>
      <c r="BE8" s="1">
        <v>854435.8200000003</v>
      </c>
      <c r="BF8" s="1">
        <v>1015338.5600000005</v>
      </c>
      <c r="BG8" s="1">
        <v>3208032.3099999987</v>
      </c>
      <c r="BH8" s="1">
        <v>2793719.1899999976</v>
      </c>
      <c r="BI8" s="1">
        <v>2999449.7300000004</v>
      </c>
      <c r="BJ8" s="1">
        <v>3409971.7599999979</v>
      </c>
      <c r="BK8" s="1">
        <v>2868243.5300000012</v>
      </c>
      <c r="BL8" s="1">
        <v>1709714.0500000007</v>
      </c>
      <c r="BM8" s="1">
        <v>4264046.9199999981</v>
      </c>
      <c r="BN8" s="1">
        <v>2336022.6299999952</v>
      </c>
      <c r="BO8" s="1">
        <v>2293280.8100000024</v>
      </c>
      <c r="BP8" s="1">
        <v>1334972.7700000033</v>
      </c>
      <c r="BQ8" s="1">
        <v>2077422.1099999994</v>
      </c>
      <c r="BR8" s="1">
        <v>1673538.3100000024</v>
      </c>
      <c r="BS8" s="1">
        <v>4026260.9700000063</v>
      </c>
      <c r="BT8" s="1">
        <v>5825160.75</v>
      </c>
      <c r="BU8" s="1">
        <v>3018845.2099999934</v>
      </c>
      <c r="BV8" s="1">
        <v>5762756.5799999982</v>
      </c>
      <c r="BW8" s="1">
        <v>5855921.3700000048</v>
      </c>
      <c r="BX8" s="1">
        <v>2672209.3699999973</v>
      </c>
      <c r="BY8" s="1">
        <v>3406749.1599999964</v>
      </c>
      <c r="BZ8" s="1">
        <v>3788711.9699999988</v>
      </c>
      <c r="CA8" s="1">
        <v>3556977.2899999991</v>
      </c>
      <c r="CB8" s="1">
        <v>3227768.9900000021</v>
      </c>
      <c r="CC8" s="1">
        <v>2677225.1799999997</v>
      </c>
      <c r="CD8" s="1">
        <v>1941927.1999999955</v>
      </c>
      <c r="CE8" s="1">
        <v>6918340.9600000009</v>
      </c>
      <c r="CF8" s="1">
        <v>3150162.4600000009</v>
      </c>
      <c r="CG8" s="1">
        <v>9201129.9399999976</v>
      </c>
      <c r="CH8" s="1">
        <v>2282774.1999999955</v>
      </c>
      <c r="CI8" s="1">
        <v>6931367.1499999985</v>
      </c>
      <c r="CJ8" s="1">
        <v>4386889.640000008</v>
      </c>
      <c r="CK8" s="1">
        <v>1703064.8100000024</v>
      </c>
      <c r="CL8" s="1">
        <v>4542659.7099999934</v>
      </c>
      <c r="CM8" s="1">
        <v>4706466.349999994</v>
      </c>
      <c r="CN8" s="1">
        <v>4888918.7199999988</v>
      </c>
      <c r="CO8" s="1">
        <v>3427538.6400000006</v>
      </c>
      <c r="CP8" s="1">
        <v>4262473.8500000015</v>
      </c>
      <c r="CQ8" s="1">
        <v>5646455.1799999997</v>
      </c>
      <c r="CR8" s="1">
        <v>6292685.859999992</v>
      </c>
      <c r="CS8" s="1">
        <v>6691920.6599999815</v>
      </c>
      <c r="CT8" s="1">
        <v>8053867.5600000024</v>
      </c>
      <c r="CU8" s="1">
        <v>7797043.1900000051</v>
      </c>
      <c r="CV8" s="1">
        <v>4475573.0900000036</v>
      </c>
      <c r="CW8" s="1">
        <v>-7835914.7599999905</v>
      </c>
      <c r="CX8" s="1">
        <v>-603909.82000000775</v>
      </c>
      <c r="CY8" s="1">
        <v>6988923.8200000077</v>
      </c>
      <c r="CZ8" s="1">
        <v>5789446.6400000006</v>
      </c>
      <c r="DA8" s="1">
        <v>7210085.6200000122</v>
      </c>
      <c r="DB8" s="1">
        <v>5543614.9999999925</v>
      </c>
      <c r="DC8" s="1">
        <v>0</v>
      </c>
      <c r="DD8" s="1">
        <v>0</v>
      </c>
      <c r="DE8" s="1">
        <v>0</v>
      </c>
      <c r="DF8" s="1">
        <v>0</v>
      </c>
      <c r="DH8" s="6">
        <f t="shared" si="2"/>
        <v>208856607.2439999</v>
      </c>
    </row>
    <row r="9" spans="1:112" x14ac:dyDescent="0.2">
      <c r="A9" s="5" t="s">
        <v>3</v>
      </c>
      <c r="B9" s="5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9994.9966999999997</v>
      </c>
      <c r="V9" s="1">
        <v>7651.5061999999998</v>
      </c>
      <c r="W9" s="1">
        <v>23795.665399999998</v>
      </c>
      <c r="X9" s="1">
        <v>49400.750100000005</v>
      </c>
      <c r="Y9" s="1">
        <v>23594.662000000004</v>
      </c>
      <c r="Z9" s="1">
        <v>59197.81010000001</v>
      </c>
      <c r="AA9" s="1">
        <v>33263.4107</v>
      </c>
      <c r="AB9" s="1">
        <v>67493.9326</v>
      </c>
      <c r="AC9" s="1">
        <v>38309.606800000001</v>
      </c>
      <c r="AD9" s="1">
        <v>0</v>
      </c>
      <c r="AE9" s="1">
        <v>-14.950000000000001</v>
      </c>
      <c r="AF9" s="1">
        <v>1.3</v>
      </c>
      <c r="AG9" s="1">
        <v>-2552.29</v>
      </c>
      <c r="AH9" s="1">
        <v>9051.25</v>
      </c>
      <c r="AI9" s="1">
        <v>51622.327900000004</v>
      </c>
      <c r="AJ9" s="1">
        <v>122266.83040000002</v>
      </c>
      <c r="AK9" s="1">
        <v>126877.87999999999</v>
      </c>
      <c r="AL9" s="1">
        <v>137055.33000000002</v>
      </c>
      <c r="AM9" s="1">
        <v>180473.50999999998</v>
      </c>
      <c r="AN9" s="1">
        <v>92922.4</v>
      </c>
      <c r="AO9" s="1">
        <v>130876.91</v>
      </c>
      <c r="AP9" s="1">
        <v>131137.46</v>
      </c>
      <c r="AQ9" s="1">
        <v>81709.960000000006</v>
      </c>
      <c r="AR9" s="1">
        <v>59087.570000000007</v>
      </c>
      <c r="AS9" s="1">
        <v>58375.26</v>
      </c>
      <c r="AT9" s="1">
        <v>40362.550000000003</v>
      </c>
      <c r="AU9" s="1">
        <v>105222.56</v>
      </c>
      <c r="AV9" s="1">
        <v>104463.77</v>
      </c>
      <c r="AW9" s="1">
        <v>211046.56</v>
      </c>
      <c r="AX9" s="1">
        <v>6187.91</v>
      </c>
      <c r="AY9" s="1">
        <v>153573.60200000004</v>
      </c>
      <c r="AZ9" s="1">
        <v>61390</v>
      </c>
      <c r="BA9" s="1">
        <v>119670.98</v>
      </c>
      <c r="BB9" s="1">
        <v>120297.05</v>
      </c>
      <c r="BC9" s="1">
        <v>117425.5</v>
      </c>
      <c r="BD9" s="1">
        <v>12597.68</v>
      </c>
      <c r="BE9" s="1">
        <v>111076.66</v>
      </c>
      <c r="BF9" s="1">
        <v>131994.14000000001</v>
      </c>
      <c r="BG9" s="1">
        <v>417044.16000000003</v>
      </c>
      <c r="BH9" s="1">
        <v>363183.5</v>
      </c>
      <c r="BI9" s="1">
        <v>452392.52999999997</v>
      </c>
      <c r="BJ9" s="1">
        <v>449690.35</v>
      </c>
      <c r="BK9" s="1">
        <v>439379.19999999995</v>
      </c>
      <c r="BL9" s="1">
        <v>254925.04</v>
      </c>
      <c r="BM9" s="1">
        <v>626042</v>
      </c>
      <c r="BN9" s="1">
        <v>349633.07</v>
      </c>
      <c r="BO9" s="1">
        <v>458656.16200000007</v>
      </c>
      <c r="BP9" s="1">
        <v>266994.55</v>
      </c>
      <c r="BQ9" s="1">
        <v>270064.88</v>
      </c>
      <c r="BR9" s="1">
        <v>217559.98</v>
      </c>
      <c r="BS9" s="1">
        <v>523413.93</v>
      </c>
      <c r="BT9" s="1">
        <v>757270.89999999991</v>
      </c>
      <c r="BU9" s="1">
        <v>392449.88</v>
      </c>
      <c r="BV9" s="1">
        <v>783089.17</v>
      </c>
      <c r="BW9" s="1">
        <v>894654.03</v>
      </c>
      <c r="BX9" s="1">
        <v>413682.13999999996</v>
      </c>
      <c r="BY9" s="1">
        <v>510489.98</v>
      </c>
      <c r="BZ9" s="1">
        <v>568355.91</v>
      </c>
      <c r="CA9" s="1">
        <v>700933.51</v>
      </c>
      <c r="CB9" s="1">
        <v>645553.80000000005</v>
      </c>
      <c r="CC9" s="1">
        <v>348039.27340000006</v>
      </c>
      <c r="CD9" s="1">
        <v>252450.53599999996</v>
      </c>
      <c r="CE9" s="1">
        <v>899384.3273</v>
      </c>
      <c r="CF9" s="1">
        <v>409521.11980000022</v>
      </c>
      <c r="CG9" s="1">
        <v>1196146.8921999999</v>
      </c>
      <c r="CH9" s="1">
        <v>277976.82429999998</v>
      </c>
      <c r="CI9" s="1">
        <v>1023821.1922999999</v>
      </c>
      <c r="CJ9" s="1">
        <v>656425.79799999995</v>
      </c>
      <c r="CK9" s="1">
        <v>248845.97200000007</v>
      </c>
      <c r="CL9" s="1">
        <v>829731.20200000005</v>
      </c>
      <c r="CM9" s="1">
        <v>941293.27</v>
      </c>
      <c r="CN9" s="1">
        <v>977783.74399999995</v>
      </c>
      <c r="CO9" s="1">
        <v>445580.0232</v>
      </c>
      <c r="CP9" s="1">
        <v>554121.60050000006</v>
      </c>
      <c r="CQ9" s="1">
        <v>734039.17339999997</v>
      </c>
      <c r="CR9" s="1">
        <v>818049.1618</v>
      </c>
      <c r="CS9" s="1">
        <v>869949.68580000009</v>
      </c>
      <c r="CT9" s="1">
        <v>1110404.5519999999</v>
      </c>
      <c r="CU9" s="1">
        <v>1102653.7379999999</v>
      </c>
      <c r="CV9" s="1">
        <v>647758.69799999986</v>
      </c>
      <c r="CW9" s="1">
        <v>-1283660.8319999999</v>
      </c>
      <c r="CX9" s="1">
        <v>-856091.75400000007</v>
      </c>
      <c r="CY9" s="1">
        <v>1397784.764</v>
      </c>
      <c r="CZ9" s="1">
        <v>1157889.3280000002</v>
      </c>
      <c r="DA9" s="1">
        <v>937311.13000000012</v>
      </c>
      <c r="DB9" s="1">
        <v>720669.95</v>
      </c>
      <c r="DC9" s="1">
        <v>0</v>
      </c>
      <c r="DD9" s="1">
        <v>0</v>
      </c>
      <c r="DE9" s="1">
        <v>0</v>
      </c>
      <c r="DF9" s="1">
        <v>0</v>
      </c>
      <c r="DH9" s="6">
        <f t="shared" si="2"/>
        <v>29960240.092900004</v>
      </c>
    </row>
    <row r="10" spans="1:112" x14ac:dyDescent="0.2">
      <c r="A10" s="5" t="s">
        <v>3</v>
      </c>
      <c r="B10" s="5" t="s">
        <v>41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H10" s="6">
        <f t="shared" si="2"/>
        <v>0</v>
      </c>
    </row>
    <row r="11" spans="1:112" x14ac:dyDescent="0.2">
      <c r="A11" s="5" t="s">
        <v>8</v>
      </c>
      <c r="B11" s="5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>
        <v>291212868.28000003</v>
      </c>
      <c r="AV11" s="1">
        <v>486097352.16999996</v>
      </c>
      <c r="AW11" s="1">
        <v>466725687.49000001</v>
      </c>
      <c r="AX11" s="1">
        <v>499213733.38999999</v>
      </c>
      <c r="AY11" s="1">
        <v>563694591.18000007</v>
      </c>
      <c r="AZ11" s="1">
        <v>491665553.75999999</v>
      </c>
      <c r="BA11" s="1">
        <v>690979294.04999995</v>
      </c>
      <c r="BB11" s="1">
        <v>512877847.66999996</v>
      </c>
      <c r="BC11" s="1">
        <v>461450688.25999999</v>
      </c>
      <c r="BD11" s="1">
        <v>318774198.34000003</v>
      </c>
      <c r="BE11" s="1">
        <v>290511532.54000002</v>
      </c>
      <c r="BF11" s="1">
        <v>361008835.13999999</v>
      </c>
      <c r="BG11" s="1">
        <v>537966148.61000001</v>
      </c>
      <c r="BH11" s="1">
        <v>618570296.05999994</v>
      </c>
      <c r="BI11" s="1">
        <v>616855044.81999993</v>
      </c>
      <c r="BJ11" s="1">
        <v>572490899.09000003</v>
      </c>
      <c r="BK11" s="1">
        <v>591220793.68999994</v>
      </c>
      <c r="BL11" s="1">
        <v>609278096.24000001</v>
      </c>
      <c r="BM11" s="1">
        <v>644763990.54999995</v>
      </c>
      <c r="BN11" s="1">
        <v>535712027.03000003</v>
      </c>
      <c r="BO11" s="1">
        <v>451717025.31999999</v>
      </c>
      <c r="BP11" s="1">
        <v>393198857.88999999</v>
      </c>
      <c r="BQ11" s="1">
        <v>323211485.26999998</v>
      </c>
      <c r="BR11" s="1">
        <v>358875474.28999996</v>
      </c>
      <c r="BS11" s="1">
        <v>610716285.10000002</v>
      </c>
      <c r="BT11" s="1">
        <v>648208573.05999994</v>
      </c>
      <c r="BU11" s="1">
        <v>713586703.91999996</v>
      </c>
      <c r="BV11" s="1">
        <v>693310960.03000009</v>
      </c>
      <c r="BW11" s="1">
        <v>706382861.39999998</v>
      </c>
      <c r="BX11" s="1">
        <v>637485878.86999989</v>
      </c>
      <c r="BY11" s="1">
        <v>759807633.25999999</v>
      </c>
      <c r="BZ11" s="1">
        <v>656322665.78999996</v>
      </c>
      <c r="CA11" s="1">
        <v>568493314.61000001</v>
      </c>
      <c r="CB11" s="1">
        <v>454116117.10999995</v>
      </c>
      <c r="CC11" s="1">
        <v>410140440.35000002</v>
      </c>
      <c r="CD11" s="1">
        <v>496602561.63</v>
      </c>
      <c r="CE11" s="1">
        <v>732099544.17999995</v>
      </c>
      <c r="CF11" s="1">
        <v>791243693.95000005</v>
      </c>
      <c r="CG11" s="1">
        <v>897635846.78000009</v>
      </c>
      <c r="CH11" s="1">
        <v>849316635.93999994</v>
      </c>
      <c r="CI11" s="1">
        <v>864246555.62</v>
      </c>
      <c r="CJ11" s="1">
        <v>699726799.61000001</v>
      </c>
      <c r="CK11" s="1">
        <v>887363829.76999998</v>
      </c>
      <c r="CL11" s="1">
        <v>746436864.48000002</v>
      </c>
      <c r="CM11" s="1">
        <v>707103198.82000005</v>
      </c>
      <c r="CN11" s="1">
        <v>542954635.45000005</v>
      </c>
      <c r="CO11" s="1">
        <v>463686016.21999997</v>
      </c>
      <c r="CP11" s="1">
        <v>610663048.51999998</v>
      </c>
      <c r="CQ11" s="1">
        <v>851331638.62</v>
      </c>
      <c r="CR11" s="1">
        <v>967141269.08000004</v>
      </c>
      <c r="CS11" s="1">
        <v>965233844.83999991</v>
      </c>
      <c r="CT11" s="1">
        <v>822101252.13</v>
      </c>
      <c r="CU11" s="1">
        <v>881109374.07000005</v>
      </c>
      <c r="CV11" s="1">
        <v>760440371.71999991</v>
      </c>
      <c r="CW11" s="1">
        <v>836854391.84000003</v>
      </c>
      <c r="CX11" s="1">
        <v>737163558.23000002</v>
      </c>
      <c r="CY11" s="1">
        <v>676657478.10000002</v>
      </c>
      <c r="CZ11" s="1">
        <v>663931556.62</v>
      </c>
      <c r="DA11" s="1">
        <v>599487020.10000002</v>
      </c>
      <c r="DB11" s="1">
        <v>582825646.46000004</v>
      </c>
      <c r="DC11" s="1">
        <v>0</v>
      </c>
      <c r="DD11" s="1">
        <v>0</v>
      </c>
      <c r="DE11" s="1">
        <v>0</v>
      </c>
      <c r="DF11" s="1">
        <v>0</v>
      </c>
      <c r="DH11" s="6">
        <f t="shared" si="2"/>
        <v>37180000387.410004</v>
      </c>
    </row>
    <row r="12" spans="1:112" x14ac:dyDescent="0.2">
      <c r="A12" s="5" t="s">
        <v>8</v>
      </c>
      <c r="B12" s="5" t="s">
        <v>42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>
        <v>288128579.18000001</v>
      </c>
      <c r="AV12" s="1">
        <v>479255071.83999997</v>
      </c>
      <c r="AW12" s="1">
        <v>459299269</v>
      </c>
      <c r="AX12" s="1">
        <v>494488475.44</v>
      </c>
      <c r="AY12" s="1">
        <v>558694852.20000005</v>
      </c>
      <c r="AZ12" s="1">
        <v>488310662.45999998</v>
      </c>
      <c r="BA12" s="1">
        <v>687652502.01999998</v>
      </c>
      <c r="BB12" s="1">
        <v>509516671.83999997</v>
      </c>
      <c r="BC12" s="1">
        <v>456654113.80000001</v>
      </c>
      <c r="BD12" s="1">
        <v>315953882.93000001</v>
      </c>
      <c r="BE12" s="1">
        <v>288262422.67000002</v>
      </c>
      <c r="BF12" s="1">
        <v>359221542</v>
      </c>
      <c r="BG12" s="1">
        <v>533349806.88999999</v>
      </c>
      <c r="BH12" s="1">
        <v>611382496.54999995</v>
      </c>
      <c r="BI12" s="1">
        <v>611192522.77999997</v>
      </c>
      <c r="BJ12" s="1">
        <v>566477560.88</v>
      </c>
      <c r="BK12" s="1">
        <v>585418001.50999999</v>
      </c>
      <c r="BL12" s="1">
        <v>604925186.21000004</v>
      </c>
      <c r="BM12" s="1">
        <v>639905271.88999999</v>
      </c>
      <c r="BN12" s="1">
        <v>531150497.85000002</v>
      </c>
      <c r="BO12" s="1">
        <v>446993952.75</v>
      </c>
      <c r="BP12" s="1">
        <v>390296649.27999997</v>
      </c>
      <c r="BQ12" s="1">
        <v>320175610.06</v>
      </c>
      <c r="BR12" s="1">
        <v>354621481.51999998</v>
      </c>
      <c r="BS12" s="1">
        <v>605223247.71000004</v>
      </c>
      <c r="BT12" s="1">
        <v>641019413.63</v>
      </c>
      <c r="BU12" s="1">
        <v>705674158.50999999</v>
      </c>
      <c r="BV12" s="1">
        <v>685100394.34000003</v>
      </c>
      <c r="BW12" s="1">
        <v>698008909.87</v>
      </c>
      <c r="BX12" s="1">
        <v>631248713.30999994</v>
      </c>
      <c r="BY12" s="1">
        <v>752391014.55999994</v>
      </c>
      <c r="BZ12" s="1">
        <v>649911129.99000001</v>
      </c>
      <c r="CA12" s="1">
        <v>563207422.98000002</v>
      </c>
      <c r="CB12" s="1">
        <v>449680667.58999997</v>
      </c>
      <c r="CC12" s="1">
        <v>404755827.49000001</v>
      </c>
      <c r="CD12" s="1">
        <v>473839270.91000003</v>
      </c>
      <c r="CE12" s="1">
        <v>719627601.63999999</v>
      </c>
      <c r="CF12" s="1">
        <v>784432146.74000001</v>
      </c>
      <c r="CG12" s="1">
        <v>890011783.96000004</v>
      </c>
      <c r="CH12" s="1">
        <v>844262701.29999995</v>
      </c>
      <c r="CI12" s="1">
        <v>857917925.39999998</v>
      </c>
      <c r="CJ12" s="1">
        <v>696182050.49000001</v>
      </c>
      <c r="CK12" s="1">
        <v>881807677.54999995</v>
      </c>
      <c r="CL12" s="1">
        <v>742432467.08000004</v>
      </c>
      <c r="CM12" s="1">
        <v>702531976.99000001</v>
      </c>
      <c r="CN12" s="1">
        <v>539965098.25999999</v>
      </c>
      <c r="CO12" s="1">
        <v>462473196.32999998</v>
      </c>
      <c r="CP12" s="1">
        <v>608881479.76999998</v>
      </c>
      <c r="CQ12" s="1">
        <v>846962119.17999995</v>
      </c>
      <c r="CR12" s="1">
        <v>961386531.47000003</v>
      </c>
      <c r="CS12" s="1">
        <v>958561016.05999994</v>
      </c>
      <c r="CT12" s="1">
        <v>816038385.63999999</v>
      </c>
      <c r="CU12" s="1">
        <v>875992152.13</v>
      </c>
      <c r="CV12" s="1">
        <v>757397493.92999995</v>
      </c>
      <c r="CW12" s="1">
        <v>833723863.22000003</v>
      </c>
      <c r="CX12" s="1">
        <v>734394511.74000001</v>
      </c>
      <c r="CY12" s="1">
        <v>673880431.76999998</v>
      </c>
      <c r="CZ12" s="1">
        <v>661863864.39999998</v>
      </c>
      <c r="DA12" s="1">
        <v>598298787.35000002</v>
      </c>
      <c r="DB12" s="1">
        <v>581182659.08000004</v>
      </c>
      <c r="DC12" s="1">
        <v>0</v>
      </c>
      <c r="DD12" s="1">
        <v>0</v>
      </c>
      <c r="DE12" s="1">
        <v>0</v>
      </c>
      <c r="DF12" s="1">
        <v>0</v>
      </c>
      <c r="DH12" s="6">
        <f t="shared" si="2"/>
        <v>36871595175.920013</v>
      </c>
    </row>
    <row r="13" spans="1:112" x14ac:dyDescent="0.2">
      <c r="A13" s="5" t="s">
        <v>8</v>
      </c>
      <c r="B13" s="5" t="s">
        <v>43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>
        <f t="shared" ref="AU13:BN13" si="7">AU11-AU12</f>
        <v>3084289.1000000238</v>
      </c>
      <c r="AV13" s="1">
        <f t="shared" si="7"/>
        <v>6842280.3299999833</v>
      </c>
      <c r="AW13" s="1">
        <f t="shared" si="7"/>
        <v>7426418.4900000095</v>
      </c>
      <c r="AX13" s="1">
        <f t="shared" si="7"/>
        <v>4725257.9499999881</v>
      </c>
      <c r="AY13" s="1">
        <f t="shared" si="7"/>
        <v>4999738.9800000191</v>
      </c>
      <c r="AZ13" s="1">
        <f t="shared" si="7"/>
        <v>3354891.3000000119</v>
      </c>
      <c r="BA13" s="1">
        <f t="shared" si="7"/>
        <v>3326792.0299999714</v>
      </c>
      <c r="BB13" s="1">
        <f t="shared" si="7"/>
        <v>3361175.8299999833</v>
      </c>
      <c r="BC13" s="1">
        <f t="shared" si="7"/>
        <v>4796574.4599999785</v>
      </c>
      <c r="BD13" s="1">
        <f t="shared" si="7"/>
        <v>2820315.4100000262</v>
      </c>
      <c r="BE13" s="1">
        <f t="shared" si="7"/>
        <v>2249109.8700000048</v>
      </c>
      <c r="BF13" s="1">
        <f t="shared" si="7"/>
        <v>1787293.1399999857</v>
      </c>
      <c r="BG13" s="1">
        <f t="shared" si="7"/>
        <v>4616341.7200000286</v>
      </c>
      <c r="BH13" s="1">
        <f t="shared" si="7"/>
        <v>7187799.5099999905</v>
      </c>
      <c r="BI13" s="1">
        <f t="shared" si="7"/>
        <v>5662522.0399999619</v>
      </c>
      <c r="BJ13" s="1">
        <f t="shared" si="7"/>
        <v>6013338.2100000381</v>
      </c>
      <c r="BK13" s="1">
        <f t="shared" si="7"/>
        <v>5802792.1799999475</v>
      </c>
      <c r="BL13" s="1">
        <f t="shared" si="7"/>
        <v>4352910.0299999714</v>
      </c>
      <c r="BM13" s="1">
        <f t="shared" si="7"/>
        <v>4858718.6599999666</v>
      </c>
      <c r="BN13" s="1">
        <f t="shared" si="7"/>
        <v>4561529.1800000072</v>
      </c>
      <c r="BO13" s="1">
        <f>BO11-BO12</f>
        <v>4723072.5699999928</v>
      </c>
      <c r="BP13" s="1">
        <f t="shared" ref="BP13:DF13" si="8">BP11-BP12</f>
        <v>2902208.6100000143</v>
      </c>
      <c r="BQ13" s="1">
        <f t="shared" si="8"/>
        <v>3035875.2099999785</v>
      </c>
      <c r="BR13" s="1">
        <f t="shared" si="8"/>
        <v>4253992.7699999809</v>
      </c>
      <c r="BS13" s="1">
        <f t="shared" si="8"/>
        <v>5493037.3899999857</v>
      </c>
      <c r="BT13" s="1">
        <f t="shared" si="8"/>
        <v>7189159.4299999475</v>
      </c>
      <c r="BU13" s="1">
        <f t="shared" si="8"/>
        <v>7912545.4099999666</v>
      </c>
      <c r="BV13" s="1">
        <f t="shared" si="8"/>
        <v>8210565.6900000572</v>
      </c>
      <c r="BW13" s="1">
        <f t="shared" si="8"/>
        <v>8373951.5299999714</v>
      </c>
      <c r="BX13" s="1">
        <f t="shared" si="8"/>
        <v>6237165.5599999428</v>
      </c>
      <c r="BY13" s="1">
        <f t="shared" si="8"/>
        <v>7416618.7000000477</v>
      </c>
      <c r="BZ13" s="1">
        <f t="shared" si="8"/>
        <v>6411535.7999999523</v>
      </c>
      <c r="CA13" s="1">
        <f t="shared" si="8"/>
        <v>5285891.6299999952</v>
      </c>
      <c r="CB13" s="1">
        <f t="shared" si="8"/>
        <v>4435449.5199999809</v>
      </c>
      <c r="CC13" s="1">
        <f t="shared" si="8"/>
        <v>5384612.8600000143</v>
      </c>
      <c r="CD13" s="1">
        <f t="shared" si="8"/>
        <v>22763290.719999969</v>
      </c>
      <c r="CE13" s="1">
        <f t="shared" si="8"/>
        <v>12471942.539999962</v>
      </c>
      <c r="CF13" s="1">
        <f t="shared" si="8"/>
        <v>6811547.2100000381</v>
      </c>
      <c r="CG13" s="1">
        <f t="shared" si="8"/>
        <v>7624062.8200000525</v>
      </c>
      <c r="CH13" s="1">
        <f t="shared" si="8"/>
        <v>5053934.6399999857</v>
      </c>
      <c r="CI13" s="1">
        <f t="shared" si="8"/>
        <v>6328630.2200000286</v>
      </c>
      <c r="CJ13" s="1">
        <f t="shared" si="8"/>
        <v>3544749.1200000048</v>
      </c>
      <c r="CK13" s="1">
        <f t="shared" si="8"/>
        <v>5556152.2200000286</v>
      </c>
      <c r="CL13" s="1">
        <f t="shared" si="8"/>
        <v>4004397.3999999762</v>
      </c>
      <c r="CM13" s="1">
        <f t="shared" si="8"/>
        <v>4571221.8300000429</v>
      </c>
      <c r="CN13" s="1">
        <f t="shared" si="8"/>
        <v>2989537.1900000572</v>
      </c>
      <c r="CO13" s="1">
        <f t="shared" si="8"/>
        <v>1212819.8899999857</v>
      </c>
      <c r="CP13" s="1">
        <f t="shared" si="8"/>
        <v>1781568.75</v>
      </c>
      <c r="CQ13" s="1">
        <f t="shared" si="8"/>
        <v>4369519.4400000572</v>
      </c>
      <c r="CR13" s="1">
        <f t="shared" si="8"/>
        <v>5754737.6100000143</v>
      </c>
      <c r="CS13" s="1">
        <f t="shared" si="8"/>
        <v>6672828.7799999714</v>
      </c>
      <c r="CT13" s="1">
        <f t="shared" si="8"/>
        <v>6062866.4900000095</v>
      </c>
      <c r="CU13" s="1">
        <f t="shared" si="8"/>
        <v>5117221.9400000572</v>
      </c>
      <c r="CV13" s="1">
        <f t="shared" si="8"/>
        <v>3042877.7899999619</v>
      </c>
      <c r="CW13" s="1">
        <f t="shared" si="8"/>
        <v>3130528.6200000048</v>
      </c>
      <c r="CX13" s="1">
        <f t="shared" si="8"/>
        <v>2769046.4900000095</v>
      </c>
      <c r="CY13" s="1">
        <f t="shared" si="8"/>
        <v>2777046.3300000429</v>
      </c>
      <c r="CZ13" s="1">
        <f t="shared" si="8"/>
        <v>2067692.2200000286</v>
      </c>
      <c r="DA13" s="1">
        <f t="shared" si="8"/>
        <v>1188232.75</v>
      </c>
      <c r="DB13" s="1">
        <f t="shared" si="8"/>
        <v>1642987.3799999952</v>
      </c>
      <c r="DC13" s="1">
        <f t="shared" si="8"/>
        <v>0</v>
      </c>
      <c r="DD13" s="1">
        <f t="shared" si="8"/>
        <v>0</v>
      </c>
      <c r="DE13" s="1">
        <f t="shared" si="8"/>
        <v>0</v>
      </c>
      <c r="DF13" s="1">
        <f t="shared" si="8"/>
        <v>0</v>
      </c>
      <c r="DH13" s="6">
        <f t="shared" si="2"/>
        <v>308405211.49000001</v>
      </c>
    </row>
    <row r="14" spans="1:112" x14ac:dyDescent="0.2">
      <c r="A14" s="5" t="s">
        <v>8</v>
      </c>
      <c r="B14" s="5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>
        <v>32308341.99000001</v>
      </c>
      <c r="AV14" s="1">
        <v>37510371.399999976</v>
      </c>
      <c r="AW14" s="1">
        <v>51416142.580000043</v>
      </c>
      <c r="AX14" s="1">
        <v>39822927.819999933</v>
      </c>
      <c r="AY14" s="1">
        <v>41890200.200000048</v>
      </c>
      <c r="AZ14" s="1">
        <v>25629834.769999981</v>
      </c>
      <c r="BA14" s="1">
        <v>38898393.329999924</v>
      </c>
      <c r="BB14" s="1">
        <v>30441991.879999936</v>
      </c>
      <c r="BC14" s="1">
        <v>56193285.870000005</v>
      </c>
      <c r="BD14" s="1">
        <v>12601356.090000033</v>
      </c>
      <c r="BE14" s="1">
        <v>22684581.190000027</v>
      </c>
      <c r="BF14" s="1">
        <v>37161758.620000005</v>
      </c>
      <c r="BG14" s="1">
        <v>56428816.439999998</v>
      </c>
      <c r="BH14" s="1">
        <v>49392417.219999909</v>
      </c>
      <c r="BI14" s="1">
        <v>56028194.709999919</v>
      </c>
      <c r="BJ14" s="1">
        <v>55581724.650000036</v>
      </c>
      <c r="BK14" s="1">
        <v>47486816.939999938</v>
      </c>
      <c r="BL14" s="1">
        <v>35412451.870000005</v>
      </c>
      <c r="BM14" s="1">
        <v>53523946.619999886</v>
      </c>
      <c r="BN14" s="1">
        <v>49163322.650000036</v>
      </c>
      <c r="BO14" s="1">
        <v>49458507.269999981</v>
      </c>
      <c r="BP14" s="1">
        <v>28331607.969999969</v>
      </c>
      <c r="BQ14" s="1">
        <v>35343494.779999971</v>
      </c>
      <c r="BR14" s="1">
        <v>31681151.149999976</v>
      </c>
      <c r="BS14" s="1">
        <v>60115066.429999948</v>
      </c>
      <c r="BT14" s="1">
        <v>56868980.769999981</v>
      </c>
      <c r="BU14" s="1">
        <v>42333281.889999986</v>
      </c>
      <c r="BV14" s="1">
        <v>67697686.340000033</v>
      </c>
      <c r="BW14" s="1">
        <v>70943718.049999952</v>
      </c>
      <c r="BX14" s="1">
        <v>54329588.909999847</v>
      </c>
      <c r="BY14" s="1">
        <v>59289054.899999976</v>
      </c>
      <c r="BZ14" s="1">
        <v>64489905.5</v>
      </c>
      <c r="CA14" s="1">
        <v>62444213.830000043</v>
      </c>
      <c r="CB14" s="1">
        <v>47269458.419999957</v>
      </c>
      <c r="CC14" s="1">
        <v>42514638.360000014</v>
      </c>
      <c r="CD14" s="1">
        <v>37071284.610000014</v>
      </c>
      <c r="CE14" s="1">
        <v>76364871.149999976</v>
      </c>
      <c r="CF14" s="1">
        <v>55622009.640000105</v>
      </c>
      <c r="CG14" s="1">
        <v>86285876.090000153</v>
      </c>
      <c r="CH14" s="1">
        <v>51089325.199999928</v>
      </c>
      <c r="CI14" s="1">
        <v>85003960.709999919</v>
      </c>
      <c r="CJ14" s="1">
        <v>65584316.929999948</v>
      </c>
      <c r="CK14" s="1">
        <v>50409420.499999881</v>
      </c>
      <c r="CL14" s="1">
        <v>65890774.900000095</v>
      </c>
      <c r="CM14" s="1">
        <v>75074645.800000072</v>
      </c>
      <c r="CN14" s="1">
        <v>68139684.25000006</v>
      </c>
      <c r="CO14" s="1">
        <v>54465870.839999974</v>
      </c>
      <c r="CP14" s="1">
        <v>61342793.149999976</v>
      </c>
      <c r="CQ14" s="1">
        <v>57031852.560000062</v>
      </c>
      <c r="CR14" s="1">
        <v>85211021.909999967</v>
      </c>
      <c r="CS14" s="1">
        <v>83136424.120000005</v>
      </c>
      <c r="CT14" s="1">
        <v>87402817.440000057</v>
      </c>
      <c r="CU14" s="1">
        <v>87343322.570000052</v>
      </c>
      <c r="CV14" s="1">
        <v>62154122.299999952</v>
      </c>
      <c r="CW14" s="1">
        <v>72889313.580000043</v>
      </c>
      <c r="CX14" s="1">
        <v>82599231.730000019</v>
      </c>
      <c r="CY14" s="1">
        <v>67908409.800000072</v>
      </c>
      <c r="CZ14" s="1">
        <v>53847277.2700001</v>
      </c>
      <c r="DA14" s="1">
        <v>66896917.199999988</v>
      </c>
      <c r="DB14" s="1">
        <v>51070404.150000036</v>
      </c>
      <c r="DC14" s="1">
        <v>0</v>
      </c>
      <c r="DD14" s="1">
        <v>0</v>
      </c>
      <c r="DE14" s="1">
        <v>0</v>
      </c>
      <c r="DF14" s="1">
        <v>0</v>
      </c>
      <c r="DH14" s="6">
        <f t="shared" si="2"/>
        <v>3292523179.8099999</v>
      </c>
    </row>
    <row r="15" spans="1:112" x14ac:dyDescent="0.2">
      <c r="A15" s="5" t="s">
        <v>8</v>
      </c>
      <c r="B15" s="5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>
        <v>31869601.439999998</v>
      </c>
      <c r="AV15" s="1">
        <v>36835546.319999993</v>
      </c>
      <c r="AW15" s="1">
        <v>50744216.290000021</v>
      </c>
      <c r="AX15" s="1">
        <v>39588876.219999969</v>
      </c>
      <c r="AY15" s="1">
        <v>41405462.150000036</v>
      </c>
      <c r="AZ15" s="1">
        <v>24820143.769999981</v>
      </c>
      <c r="BA15" s="1">
        <v>38760641.019999981</v>
      </c>
      <c r="BB15" s="1">
        <v>30297622.48999995</v>
      </c>
      <c r="BC15" s="1">
        <v>55442029.530000031</v>
      </c>
      <c r="BD15" s="1">
        <v>12675420.569999993</v>
      </c>
      <c r="BE15" s="1">
        <v>22587773.50000003</v>
      </c>
      <c r="BF15" s="1">
        <v>36785632.470000029</v>
      </c>
      <c r="BG15" s="1">
        <v>55774771.789999962</v>
      </c>
      <c r="BH15" s="1">
        <v>49212504.089999914</v>
      </c>
      <c r="BI15" s="1">
        <v>56007283.269999981</v>
      </c>
      <c r="BJ15" s="1">
        <v>55206943.370000005</v>
      </c>
      <c r="BK15" s="1">
        <v>47063481.689999938</v>
      </c>
      <c r="BL15" s="1">
        <v>35017590.74000001</v>
      </c>
      <c r="BM15" s="1">
        <v>53128320.399999976</v>
      </c>
      <c r="BN15" s="1">
        <v>48861944.840000033</v>
      </c>
      <c r="BO15" s="1">
        <v>48835783.439999998</v>
      </c>
      <c r="BP15" s="1">
        <v>28531723.469999969</v>
      </c>
      <c r="BQ15" s="1">
        <v>35104711.860000014</v>
      </c>
      <c r="BR15" s="1">
        <v>31029089.819999993</v>
      </c>
      <c r="BS15" s="1">
        <v>59480459.99000001</v>
      </c>
      <c r="BT15" s="1">
        <v>56319589.25999999</v>
      </c>
      <c r="BU15" s="1">
        <v>41898337.789999962</v>
      </c>
      <c r="BV15" s="1">
        <v>66888942.590000033</v>
      </c>
      <c r="BW15" s="1">
        <v>70626760.980000019</v>
      </c>
      <c r="BX15" s="1">
        <v>54127012.539999962</v>
      </c>
      <c r="BY15" s="1">
        <v>58497834.359999895</v>
      </c>
      <c r="BZ15" s="1">
        <v>64408080.180000067</v>
      </c>
      <c r="CA15" s="1">
        <v>61980647.400000036</v>
      </c>
      <c r="CB15" s="1">
        <v>46984864.969999969</v>
      </c>
      <c r="CC15" s="1">
        <v>42210728.170000017</v>
      </c>
      <c r="CD15" s="1">
        <v>38269667.880000055</v>
      </c>
      <c r="CE15" s="1">
        <v>78670125.909999967</v>
      </c>
      <c r="CF15" s="1">
        <v>55419243.110000014</v>
      </c>
      <c r="CG15" s="1">
        <v>85493129.780000091</v>
      </c>
      <c r="CH15" s="1">
        <v>51255658.189999938</v>
      </c>
      <c r="CI15" s="1">
        <v>85539844.189999938</v>
      </c>
      <c r="CJ15" s="1">
        <v>66186971.75</v>
      </c>
      <c r="CK15" s="1">
        <v>49814277.219999909</v>
      </c>
      <c r="CL15" s="1">
        <v>66543463.660000086</v>
      </c>
      <c r="CM15" s="1">
        <v>74490893.870000005</v>
      </c>
      <c r="CN15" s="1">
        <v>67711986.980000019</v>
      </c>
      <c r="CO15" s="1">
        <v>54457876.229999959</v>
      </c>
      <c r="CP15" s="1">
        <v>60955665.00999999</v>
      </c>
      <c r="CQ15" s="1">
        <v>56033341.399999976</v>
      </c>
      <c r="CR15" s="1">
        <v>84297404.019999981</v>
      </c>
      <c r="CS15" s="1">
        <v>82990775.139999986</v>
      </c>
      <c r="CT15" s="1">
        <v>86940241.610000014</v>
      </c>
      <c r="CU15" s="1">
        <v>86514821.350000024</v>
      </c>
      <c r="CV15" s="1">
        <v>62147750.809999943</v>
      </c>
      <c r="CW15" s="1">
        <v>72499766.960000038</v>
      </c>
      <c r="CX15" s="1">
        <v>82105303.690000057</v>
      </c>
      <c r="CY15" s="1">
        <v>67857853.879999995</v>
      </c>
      <c r="CZ15" s="1">
        <v>53965741.360000014</v>
      </c>
      <c r="DA15" s="1">
        <v>66691816.800000012</v>
      </c>
      <c r="DB15" s="1">
        <v>50814141.700000048</v>
      </c>
      <c r="DC15" s="1">
        <v>0</v>
      </c>
      <c r="DD15" s="1">
        <v>0</v>
      </c>
      <c r="DE15" s="1">
        <v>0</v>
      </c>
      <c r="DF15" s="1">
        <v>0</v>
      </c>
      <c r="DH15" s="6">
        <f t="shared" si="2"/>
        <v>3276678135.2800007</v>
      </c>
    </row>
    <row r="16" spans="1:112" x14ac:dyDescent="0.2">
      <c r="A16" s="5" t="s">
        <v>8</v>
      </c>
      <c r="B16" s="5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>
        <f t="shared" ref="AU16:BN16" si="9">AU14-AU15</f>
        <v>438740.55000001192</v>
      </c>
      <c r="AV16" s="1">
        <f t="shared" si="9"/>
        <v>674825.07999998331</v>
      </c>
      <c r="AW16" s="1">
        <f t="shared" si="9"/>
        <v>671926.29000002146</v>
      </c>
      <c r="AX16" s="1">
        <f t="shared" si="9"/>
        <v>234051.59999996424</v>
      </c>
      <c r="AY16" s="1">
        <f t="shared" si="9"/>
        <v>484738.05000001192</v>
      </c>
      <c r="AZ16" s="1">
        <f t="shared" si="9"/>
        <v>809691</v>
      </c>
      <c r="BA16" s="1">
        <f t="shared" si="9"/>
        <v>137752.30999994278</v>
      </c>
      <c r="BB16" s="1">
        <f t="shared" si="9"/>
        <v>144369.38999998569</v>
      </c>
      <c r="BC16" s="1">
        <f t="shared" si="9"/>
        <v>751256.33999997377</v>
      </c>
      <c r="BD16" s="1">
        <f t="shared" si="9"/>
        <v>-74064.479999959469</v>
      </c>
      <c r="BE16" s="1">
        <f t="shared" si="9"/>
        <v>96807.689999997616</v>
      </c>
      <c r="BF16" s="1">
        <f t="shared" si="9"/>
        <v>376126.14999997616</v>
      </c>
      <c r="BG16" s="1">
        <f t="shared" si="9"/>
        <v>654044.65000003576</v>
      </c>
      <c r="BH16" s="1">
        <f t="shared" si="9"/>
        <v>179913.12999999523</v>
      </c>
      <c r="BI16" s="1">
        <f t="shared" si="9"/>
        <v>20911.439999938011</v>
      </c>
      <c r="BJ16" s="1">
        <f t="shared" si="9"/>
        <v>374781.28000003099</v>
      </c>
      <c r="BK16" s="1">
        <f t="shared" si="9"/>
        <v>423335.25</v>
      </c>
      <c r="BL16" s="1">
        <f t="shared" si="9"/>
        <v>394861.12999999523</v>
      </c>
      <c r="BM16" s="1">
        <f t="shared" si="9"/>
        <v>395626.2199999094</v>
      </c>
      <c r="BN16" s="1">
        <f t="shared" si="9"/>
        <v>301377.81000000238</v>
      </c>
      <c r="BO16" s="1">
        <f>BO14-BO15</f>
        <v>622723.82999998331</v>
      </c>
      <c r="BP16" s="1">
        <f t="shared" ref="BP16:DF16" si="10">BP14-BP15</f>
        <v>-200115.5</v>
      </c>
      <c r="BQ16" s="1">
        <f t="shared" si="10"/>
        <v>238782.91999995708</v>
      </c>
      <c r="BR16" s="1">
        <f t="shared" si="10"/>
        <v>652061.32999998331</v>
      </c>
      <c r="BS16" s="1">
        <f t="shared" si="10"/>
        <v>634606.43999993801</v>
      </c>
      <c r="BT16" s="1">
        <f t="shared" si="10"/>
        <v>549391.50999999046</v>
      </c>
      <c r="BU16" s="1">
        <f t="shared" si="10"/>
        <v>434944.10000002384</v>
      </c>
      <c r="BV16" s="1">
        <f t="shared" si="10"/>
        <v>808743.75</v>
      </c>
      <c r="BW16" s="1">
        <f t="shared" si="10"/>
        <v>316957.06999993324</v>
      </c>
      <c r="BX16" s="1">
        <f t="shared" si="10"/>
        <v>202576.36999988556</v>
      </c>
      <c r="BY16" s="1">
        <f t="shared" si="10"/>
        <v>791220.54000008106</v>
      </c>
      <c r="BZ16" s="1">
        <f t="shared" si="10"/>
        <v>81825.319999933243</v>
      </c>
      <c r="CA16" s="1">
        <f t="shared" si="10"/>
        <v>463566.43000000715</v>
      </c>
      <c r="CB16" s="1">
        <f t="shared" si="10"/>
        <v>284593.44999998808</v>
      </c>
      <c r="CC16" s="1">
        <f t="shared" si="10"/>
        <v>303910.18999999762</v>
      </c>
      <c r="CD16" s="1">
        <f t="shared" si="10"/>
        <v>-1198383.2700000405</v>
      </c>
      <c r="CE16" s="1">
        <f t="shared" si="10"/>
        <v>-2305254.7599999905</v>
      </c>
      <c r="CF16" s="1">
        <f t="shared" si="10"/>
        <v>202766.5300000906</v>
      </c>
      <c r="CG16" s="1">
        <f t="shared" si="10"/>
        <v>792746.31000006199</v>
      </c>
      <c r="CH16" s="1">
        <f t="shared" si="10"/>
        <v>-166332.99000000954</v>
      </c>
      <c r="CI16" s="1">
        <f t="shared" si="10"/>
        <v>-535883.48000001907</v>
      </c>
      <c r="CJ16" s="1">
        <f t="shared" si="10"/>
        <v>-602654.82000005245</v>
      </c>
      <c r="CK16" s="1">
        <f t="shared" si="10"/>
        <v>595143.27999997139</v>
      </c>
      <c r="CL16" s="1">
        <f t="shared" si="10"/>
        <v>-652688.75999999046</v>
      </c>
      <c r="CM16" s="1">
        <f t="shared" si="10"/>
        <v>583751.93000006676</v>
      </c>
      <c r="CN16" s="1">
        <f t="shared" si="10"/>
        <v>427697.27000004053</v>
      </c>
      <c r="CO16" s="1">
        <f t="shared" si="10"/>
        <v>7994.6100000143051</v>
      </c>
      <c r="CP16" s="1">
        <f t="shared" si="10"/>
        <v>387128.13999998569</v>
      </c>
      <c r="CQ16" s="1">
        <f t="shared" si="10"/>
        <v>998511.16000008583</v>
      </c>
      <c r="CR16" s="1">
        <f t="shared" si="10"/>
        <v>913617.88999998569</v>
      </c>
      <c r="CS16" s="1">
        <f t="shared" si="10"/>
        <v>145648.98000001907</v>
      </c>
      <c r="CT16" s="1">
        <f t="shared" si="10"/>
        <v>462575.83000004292</v>
      </c>
      <c r="CU16" s="1">
        <f t="shared" si="10"/>
        <v>828501.22000002861</v>
      </c>
      <c r="CV16" s="1">
        <f t="shared" si="10"/>
        <v>6371.4900000095367</v>
      </c>
      <c r="CW16" s="1">
        <f t="shared" si="10"/>
        <v>389546.62000000477</v>
      </c>
      <c r="CX16" s="1">
        <f t="shared" si="10"/>
        <v>493928.03999996185</v>
      </c>
      <c r="CY16" s="1">
        <f t="shared" si="10"/>
        <v>50555.920000076294</v>
      </c>
      <c r="CZ16" s="1">
        <f t="shared" si="10"/>
        <v>-118464.08999991417</v>
      </c>
      <c r="DA16" s="1">
        <f t="shared" si="10"/>
        <v>205100.39999997616</v>
      </c>
      <c r="DB16" s="1">
        <f t="shared" si="10"/>
        <v>256262.44999998808</v>
      </c>
      <c r="DC16" s="1">
        <f t="shared" si="10"/>
        <v>0</v>
      </c>
      <c r="DD16" s="1">
        <f t="shared" si="10"/>
        <v>0</v>
      </c>
      <c r="DE16" s="1">
        <f t="shared" si="10"/>
        <v>0</v>
      </c>
      <c r="DF16" s="1">
        <f t="shared" si="10"/>
        <v>0</v>
      </c>
      <c r="DH16" s="6">
        <f t="shared" si="2"/>
        <v>15845044.529999912</v>
      </c>
    </row>
    <row r="17" spans="1:112" x14ac:dyDescent="0.2">
      <c r="A17" s="5" t="s">
        <v>8</v>
      </c>
      <c r="B17" s="5" t="s">
        <v>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>
        <v>392417.83</v>
      </c>
      <c r="AV17" s="1">
        <v>10355580.300000001</v>
      </c>
      <c r="AW17" s="1">
        <v>31899147.169999998</v>
      </c>
      <c r="AX17" s="1">
        <v>17281600.140000001</v>
      </c>
      <c r="AY17" s="1">
        <v>19622350.52</v>
      </c>
      <c r="AZ17" s="1">
        <v>6866555.4699999997</v>
      </c>
      <c r="BA17" s="1">
        <v>18668125.950000003</v>
      </c>
      <c r="BB17" s="1">
        <v>16501603.74</v>
      </c>
      <c r="BC17" s="1">
        <v>41402415.160000004</v>
      </c>
      <c r="BD17" s="1">
        <v>7680890.8700000001</v>
      </c>
      <c r="BE17" s="1">
        <v>14986002.620000001</v>
      </c>
      <c r="BF17" s="1">
        <v>27754083.75</v>
      </c>
      <c r="BG17" s="1">
        <v>30717589.939999998</v>
      </c>
      <c r="BH17" s="1">
        <v>29708304.130000003</v>
      </c>
      <c r="BI17" s="1">
        <v>38801441.560000002</v>
      </c>
      <c r="BJ17" s="1">
        <v>37315141.289999999</v>
      </c>
      <c r="BK17" s="1">
        <v>28961017.169999998</v>
      </c>
      <c r="BL17" s="1">
        <v>16169915.73</v>
      </c>
      <c r="BM17" s="1">
        <v>37119677.82</v>
      </c>
      <c r="BN17" s="1">
        <v>34363339.030000001</v>
      </c>
      <c r="BO17" s="1">
        <v>33886604.630000003</v>
      </c>
      <c r="BP17" s="1">
        <v>16353354.039999999</v>
      </c>
      <c r="BQ17" s="1">
        <v>26834726.859999999</v>
      </c>
      <c r="BR17" s="1">
        <v>21410423.810000002</v>
      </c>
      <c r="BS17" s="1">
        <v>32551331.66</v>
      </c>
      <c r="BT17" s="1">
        <v>32987401.169999998</v>
      </c>
      <c r="BU17" s="1">
        <v>20325963.729999997</v>
      </c>
      <c r="BV17" s="1">
        <v>48345630.409999996</v>
      </c>
      <c r="BW17" s="1">
        <v>46174706.079999998</v>
      </c>
      <c r="BX17" s="1">
        <v>27959904.100000001</v>
      </c>
      <c r="BY17" s="1">
        <v>38003553.729999997</v>
      </c>
      <c r="BZ17" s="1">
        <v>43352636.670000002</v>
      </c>
      <c r="CA17" s="1">
        <v>43162962.390000001</v>
      </c>
      <c r="CB17" s="1">
        <v>31635500.849999998</v>
      </c>
      <c r="CC17" s="1">
        <v>29019979.359999999</v>
      </c>
      <c r="CD17" s="1">
        <v>22439831.25</v>
      </c>
      <c r="CE17" s="1">
        <v>39697413.200000003</v>
      </c>
      <c r="CF17" s="1">
        <v>23572733.57</v>
      </c>
      <c r="CG17" s="1">
        <v>57458369.850000001</v>
      </c>
      <c r="CH17" s="1">
        <v>25810839.619999997</v>
      </c>
      <c r="CI17" s="1">
        <v>53201145.810000002</v>
      </c>
      <c r="CJ17" s="1">
        <v>39820806.609999999</v>
      </c>
      <c r="CK17" s="1">
        <v>25032786.740000002</v>
      </c>
      <c r="CL17" s="1">
        <v>43382455.770000003</v>
      </c>
      <c r="CM17" s="1">
        <v>51808107.090000004</v>
      </c>
      <c r="CN17" s="1">
        <v>50462163.399999999</v>
      </c>
      <c r="CO17" s="1">
        <v>40734184.169999994</v>
      </c>
      <c r="CP17" s="1">
        <v>41498814.050000004</v>
      </c>
      <c r="CQ17" s="1">
        <v>19576306.190000001</v>
      </c>
      <c r="CR17" s="1">
        <v>52497272.229999997</v>
      </c>
      <c r="CS17" s="1">
        <v>54616511.759999998</v>
      </c>
      <c r="CT17" s="1">
        <v>65905378.340000004</v>
      </c>
      <c r="CU17" s="1">
        <v>57558925.810000002</v>
      </c>
      <c r="CV17" s="1">
        <v>40718647.859999999</v>
      </c>
      <c r="CW17" s="1">
        <v>47628091.089999996</v>
      </c>
      <c r="CX17" s="1">
        <v>59766869.359999999</v>
      </c>
      <c r="CY17" s="1">
        <v>47576058.740000002</v>
      </c>
      <c r="CZ17" s="1">
        <v>30674750.370000001</v>
      </c>
      <c r="DA17" s="1">
        <v>48605795.009999998</v>
      </c>
      <c r="DB17" s="1">
        <v>36200918.890000001</v>
      </c>
      <c r="DC17" s="1">
        <v>0</v>
      </c>
      <c r="DD17" s="1">
        <v>0</v>
      </c>
      <c r="DE17" s="1">
        <v>0</v>
      </c>
      <c r="DF17" s="1">
        <v>0</v>
      </c>
      <c r="DH17" s="6">
        <f t="shared" si="2"/>
        <v>2034817056.4599993</v>
      </c>
    </row>
    <row r="18" spans="1:112" x14ac:dyDescent="0.2">
      <c r="A18" s="5" t="s">
        <v>8</v>
      </c>
      <c r="B18" s="5" t="s">
        <v>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>
        <v>31393.43</v>
      </c>
      <c r="AV18" s="1">
        <v>1022841.29</v>
      </c>
      <c r="AW18" s="1">
        <v>3177147.84</v>
      </c>
      <c r="AX18" s="1">
        <v>1723901.53</v>
      </c>
      <c r="AY18" s="1">
        <v>1952971.4100000001</v>
      </c>
      <c r="AZ18" s="1">
        <v>670685.65</v>
      </c>
      <c r="BA18" s="1">
        <v>1864457.3099999998</v>
      </c>
      <c r="BB18" s="1">
        <v>1647449.9200000002</v>
      </c>
      <c r="BC18" s="1">
        <v>4125125.13</v>
      </c>
      <c r="BD18" s="1">
        <v>766831.47000000009</v>
      </c>
      <c r="BE18" s="1">
        <v>1496427.48</v>
      </c>
      <c r="BF18" s="1">
        <v>2767590.04</v>
      </c>
      <c r="BG18" s="1">
        <v>3058838.23</v>
      </c>
      <c r="BH18" s="1">
        <v>2963715.79</v>
      </c>
      <c r="BI18" s="1">
        <v>3876207.54</v>
      </c>
      <c r="BJ18" s="1">
        <v>3724395.36</v>
      </c>
      <c r="BK18" s="1">
        <v>2886501.89</v>
      </c>
      <c r="BL18" s="1">
        <v>1609580.71</v>
      </c>
      <c r="BM18" s="1">
        <v>3704267.7600000002</v>
      </c>
      <c r="BN18" s="1">
        <v>3429845.74</v>
      </c>
      <c r="BO18" s="1">
        <v>3376058.69</v>
      </c>
      <c r="BP18" s="1">
        <v>1633356.26</v>
      </c>
      <c r="BQ18" s="1">
        <v>2678597.61</v>
      </c>
      <c r="BR18" s="1">
        <v>2128096.0299999998</v>
      </c>
      <c r="BS18" s="1">
        <v>3243221.98</v>
      </c>
      <c r="BT18" s="1">
        <v>3287798.5</v>
      </c>
      <c r="BU18" s="1">
        <v>2023887.1300000001</v>
      </c>
      <c r="BV18" s="1">
        <v>4817325.26</v>
      </c>
      <c r="BW18" s="1">
        <v>4610005.29</v>
      </c>
      <c r="BX18" s="1">
        <v>2788885.03</v>
      </c>
      <c r="BY18" s="1">
        <v>3784200.44</v>
      </c>
      <c r="BZ18" s="1">
        <v>4328377.5599999996</v>
      </c>
      <c r="CA18" s="1">
        <v>4307142.67</v>
      </c>
      <c r="CB18" s="1">
        <v>3157087.04</v>
      </c>
      <c r="CC18" s="1">
        <v>2896319.37</v>
      </c>
      <c r="CD18" s="1">
        <v>2239780.96</v>
      </c>
      <c r="CE18" s="1">
        <v>3962932.1</v>
      </c>
      <c r="CF18" s="1">
        <v>2353296.84</v>
      </c>
      <c r="CG18" s="1">
        <v>5731497.5100000007</v>
      </c>
      <c r="CH18" s="1">
        <v>2580183.9</v>
      </c>
      <c r="CI18" s="1">
        <v>5318012.58</v>
      </c>
      <c r="CJ18" s="1">
        <v>3980547.06</v>
      </c>
      <c r="CK18" s="1">
        <v>2491842.5900000003</v>
      </c>
      <c r="CL18" s="1">
        <v>4337305.67</v>
      </c>
      <c r="CM18" s="1">
        <v>5169341.8499999996</v>
      </c>
      <c r="CN18" s="1">
        <v>5028579.24</v>
      </c>
      <c r="CO18" s="1">
        <v>4071326.8</v>
      </c>
      <c r="CP18" s="1">
        <v>4142225.06</v>
      </c>
      <c r="CQ18" s="1">
        <v>1937776.6</v>
      </c>
      <c r="CR18" s="1">
        <v>5232359.13</v>
      </c>
      <c r="CS18" s="1">
        <v>5457248.29</v>
      </c>
      <c r="CT18" s="1">
        <v>6580672.04</v>
      </c>
      <c r="CU18" s="1">
        <v>5739360.1100000003</v>
      </c>
      <c r="CV18" s="1">
        <v>3909664.66</v>
      </c>
      <c r="CW18" s="1">
        <v>4755139.95</v>
      </c>
      <c r="CX18" s="1">
        <v>5966752.0499999998</v>
      </c>
      <c r="CY18" s="1">
        <v>4756520.96</v>
      </c>
      <c r="CZ18" s="1">
        <v>3066808.53</v>
      </c>
      <c r="DA18" s="1">
        <v>4856549.63</v>
      </c>
      <c r="DB18" s="1">
        <v>3614997.8000000003</v>
      </c>
      <c r="DC18" s="1">
        <v>0</v>
      </c>
      <c r="DD18" s="1">
        <v>0</v>
      </c>
      <c r="DE18" s="1">
        <v>0</v>
      </c>
      <c r="DF18" s="1">
        <v>0</v>
      </c>
      <c r="DH18" s="6">
        <f t="shared" si="2"/>
        <v>202841256.29000005</v>
      </c>
    </row>
    <row r="19" spans="1:112" x14ac:dyDescent="0.2">
      <c r="A19" s="5" t="str">
        <f>A18</f>
        <v>AZ</v>
      </c>
      <c r="B19" s="5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>
        <v>31238322.380000003</v>
      </c>
      <c r="AV19" s="1">
        <v>25970962.170000002</v>
      </c>
      <c r="AW19" s="1">
        <v>18370918.499999996</v>
      </c>
      <c r="AX19" s="1">
        <v>21318367.350000005</v>
      </c>
      <c r="AY19" s="1">
        <v>20888086.509999998</v>
      </c>
      <c r="AZ19" s="1">
        <v>17571273.699999996</v>
      </c>
      <c r="BA19" s="1">
        <v>18563519.969999999</v>
      </c>
      <c r="BB19" s="1">
        <v>12747671.18</v>
      </c>
      <c r="BC19" s="1">
        <v>13760648.270000001</v>
      </c>
      <c r="BD19" s="1">
        <v>9243268.8499999978</v>
      </c>
      <c r="BE19" s="1">
        <v>7006625.8399999999</v>
      </c>
      <c r="BF19" s="1">
        <v>8548043.8699999992</v>
      </c>
      <c r="BG19" s="1">
        <v>24460849.270000003</v>
      </c>
      <c r="BH19" s="1">
        <v>18385759.160000004</v>
      </c>
      <c r="BI19" s="1">
        <v>15928292.33</v>
      </c>
      <c r="BJ19" s="1">
        <v>17125779.449999999</v>
      </c>
      <c r="BK19" s="1">
        <v>17205481.079999994</v>
      </c>
      <c r="BL19" s="1">
        <v>17782963.73</v>
      </c>
      <c r="BM19" s="1">
        <v>16237538.170000004</v>
      </c>
      <c r="BN19" s="1">
        <v>13617862.68</v>
      </c>
      <c r="BO19" s="1">
        <v>14709000.710000001</v>
      </c>
      <c r="BP19" s="1">
        <v>11356909.920000002</v>
      </c>
      <c r="BQ19" s="1">
        <v>7745585.4400000004</v>
      </c>
      <c r="BR19" s="1">
        <v>9480358.0099999979</v>
      </c>
      <c r="BS19" s="1">
        <v>27101468.070000004</v>
      </c>
      <c r="BT19" s="1">
        <v>22598482.020000003</v>
      </c>
      <c r="BU19" s="1">
        <v>20528016.719999999</v>
      </c>
      <c r="BV19" s="1">
        <v>17767262.75</v>
      </c>
      <c r="BW19" s="1">
        <v>23189083.009999994</v>
      </c>
      <c r="BX19" s="1">
        <v>25072142.710000001</v>
      </c>
      <c r="BY19" s="1">
        <v>19520416.23</v>
      </c>
      <c r="BZ19" s="1">
        <v>19909231.34</v>
      </c>
      <c r="CA19" s="1">
        <v>17174970.239999998</v>
      </c>
      <c r="CB19" s="1">
        <v>14576491.969999999</v>
      </c>
      <c r="CC19" s="1">
        <v>12499332.280000001</v>
      </c>
      <c r="CD19" s="1">
        <v>14913247.690000001</v>
      </c>
      <c r="CE19" s="1">
        <v>37720266.340000004</v>
      </c>
      <c r="CF19" s="1">
        <v>30185683.169999998</v>
      </c>
      <c r="CG19" s="1">
        <v>26646884.299999997</v>
      </c>
      <c r="CH19" s="1">
        <v>23527468.550000001</v>
      </c>
      <c r="CI19" s="1">
        <v>30413070.310000002</v>
      </c>
      <c r="CJ19" s="1">
        <v>24874132.549999997</v>
      </c>
      <c r="CK19" s="1">
        <v>23239536.16</v>
      </c>
      <c r="CL19" s="1">
        <v>21373738.190000001</v>
      </c>
      <c r="CM19" s="1">
        <v>21587006.340000004</v>
      </c>
      <c r="CN19" s="1">
        <v>16788575.970000003</v>
      </c>
      <c r="CO19" s="1">
        <v>12702063.74</v>
      </c>
      <c r="CP19" s="1">
        <v>18449837.84</v>
      </c>
      <c r="CQ19" s="1">
        <v>35391097.849999994</v>
      </c>
      <c r="CR19" s="1">
        <v>30476837.520000003</v>
      </c>
      <c r="CS19" s="1">
        <v>26238469.300000001</v>
      </c>
      <c r="CT19" s="1">
        <v>19530153.339999996</v>
      </c>
      <c r="CU19" s="1">
        <v>27692760.839999996</v>
      </c>
      <c r="CV19" s="1">
        <v>19742122.040000003</v>
      </c>
      <c r="CW19" s="1">
        <v>23189758.52</v>
      </c>
      <c r="CX19" s="1">
        <v>21064789.639999997</v>
      </c>
      <c r="CY19" s="1">
        <v>18711350.186000001</v>
      </c>
      <c r="CZ19" s="1">
        <v>21718538.710000001</v>
      </c>
      <c r="DA19" s="1">
        <v>17049471.25</v>
      </c>
      <c r="DB19" s="1">
        <v>13448110.219999999</v>
      </c>
      <c r="DC19" s="1">
        <v>0</v>
      </c>
      <c r="DD19" s="1">
        <v>0</v>
      </c>
      <c r="DE19" s="1">
        <v>0</v>
      </c>
      <c r="DF19" s="1">
        <v>0</v>
      </c>
      <c r="DH19" s="6">
        <f t="shared" si="2"/>
        <v>1185875956.4460003</v>
      </c>
    </row>
    <row r="20" spans="1:112" x14ac:dyDescent="0.2">
      <c r="A20" s="5" t="s">
        <v>9</v>
      </c>
      <c r="B20" s="5" t="s">
        <v>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v>25621761.629999999</v>
      </c>
      <c r="AF20" s="1">
        <v>38136949.159999996</v>
      </c>
      <c r="AG20" s="1">
        <v>59183619.729999997</v>
      </c>
      <c r="AH20" s="1">
        <v>128646209.09</v>
      </c>
      <c r="AI20" s="1">
        <v>207655942.72</v>
      </c>
      <c r="AJ20" s="1">
        <v>210719821.27000001</v>
      </c>
      <c r="AK20" s="1">
        <v>231238842.15000001</v>
      </c>
      <c r="AL20" s="1">
        <v>284551471.72000003</v>
      </c>
      <c r="AM20" s="1">
        <v>326903462.06</v>
      </c>
      <c r="AN20" s="1">
        <v>266549206.66999999</v>
      </c>
      <c r="AO20" s="1">
        <v>300990842.17000002</v>
      </c>
      <c r="AP20" s="1">
        <v>244446760.46000001</v>
      </c>
      <c r="AQ20" s="1">
        <v>248968193.34999999</v>
      </c>
      <c r="AR20" s="1">
        <v>229764688.28999999</v>
      </c>
      <c r="AS20" s="1">
        <v>181327994.91999999</v>
      </c>
      <c r="AT20" s="1">
        <v>211918184.50999999</v>
      </c>
      <c r="AU20" s="1">
        <v>408314624.88999999</v>
      </c>
      <c r="AV20" s="1">
        <v>491453341.57999998</v>
      </c>
      <c r="AW20" s="1">
        <v>475441228.94999999</v>
      </c>
      <c r="AX20" s="1">
        <v>461448573.69999999</v>
      </c>
      <c r="AY20" s="1">
        <v>573720213.20000005</v>
      </c>
      <c r="AZ20" s="1">
        <v>440508420.81</v>
      </c>
      <c r="BA20" s="1">
        <v>505611080.13</v>
      </c>
      <c r="BB20" s="1">
        <v>392311737.41000003</v>
      </c>
      <c r="BC20" s="1">
        <v>360325437.74000001</v>
      </c>
      <c r="BD20" s="1">
        <v>313215080.54000002</v>
      </c>
      <c r="BE20" s="1">
        <v>258414807.72999999</v>
      </c>
      <c r="BF20" s="1">
        <v>290107969.56</v>
      </c>
      <c r="BG20" s="1">
        <v>450232596.97000003</v>
      </c>
      <c r="BH20" s="1">
        <v>526619776.98000002</v>
      </c>
      <c r="BI20" s="1">
        <v>552603012.50999999</v>
      </c>
      <c r="BJ20" s="1">
        <v>518088768.07999998</v>
      </c>
      <c r="BK20" s="1">
        <v>547189024.98000002</v>
      </c>
      <c r="BL20" s="1">
        <v>425142876.63</v>
      </c>
      <c r="BM20" s="1">
        <v>494440209.58999997</v>
      </c>
      <c r="BN20" s="1">
        <v>417814147.01999998</v>
      </c>
      <c r="BO20" s="1">
        <v>385242135.58999997</v>
      </c>
      <c r="BP20" s="1">
        <v>310656478.38999999</v>
      </c>
      <c r="BQ20" s="1">
        <v>281110490.36000001</v>
      </c>
      <c r="BR20" s="1">
        <v>306065790.69</v>
      </c>
      <c r="BS20" s="1">
        <v>512792794.06999999</v>
      </c>
      <c r="BT20" s="1">
        <v>554859801.14999998</v>
      </c>
      <c r="BU20" s="1">
        <v>608488266.48000002</v>
      </c>
      <c r="BV20" s="1">
        <v>716430270.22000003</v>
      </c>
      <c r="BW20" s="1">
        <v>596685967.75999999</v>
      </c>
      <c r="BX20" s="1">
        <v>536988261.39999998</v>
      </c>
      <c r="BY20" s="1">
        <v>593094977.24000001</v>
      </c>
      <c r="BZ20" s="1">
        <v>509508228.35000002</v>
      </c>
      <c r="CA20" s="1">
        <v>447561934.48000002</v>
      </c>
      <c r="CB20" s="1">
        <v>350425610.38999999</v>
      </c>
      <c r="CC20" s="1">
        <v>320396840.88</v>
      </c>
      <c r="CD20" s="1">
        <v>372378663.79000002</v>
      </c>
      <c r="CE20" s="1">
        <v>562923089.75</v>
      </c>
      <c r="CF20" s="1">
        <v>601222030.73000002</v>
      </c>
      <c r="CG20" s="1">
        <v>647951807.01999998</v>
      </c>
      <c r="CH20" s="1">
        <v>648426633.70000005</v>
      </c>
      <c r="CI20" s="1">
        <v>657182798.15999997</v>
      </c>
      <c r="CJ20" s="1">
        <v>496628781.25</v>
      </c>
      <c r="CK20" s="1">
        <v>618044246.70000005</v>
      </c>
      <c r="CL20" s="1">
        <v>507860831.16000003</v>
      </c>
      <c r="CM20" s="1">
        <v>495332856.33999997</v>
      </c>
      <c r="CN20" s="1">
        <v>372493465.49000001</v>
      </c>
      <c r="CO20" s="1">
        <v>352309840.98000002</v>
      </c>
      <c r="CP20" s="1">
        <v>417226849.93000001</v>
      </c>
      <c r="CQ20" s="1">
        <v>608767705.13</v>
      </c>
      <c r="CR20" s="1">
        <v>680540112.54999995</v>
      </c>
      <c r="CS20" s="1">
        <v>694612535.33000004</v>
      </c>
      <c r="CT20" s="1">
        <v>618385973.64999998</v>
      </c>
      <c r="CU20" s="1">
        <v>630221223.01999998</v>
      </c>
      <c r="CV20" s="1">
        <v>468506713.45999998</v>
      </c>
      <c r="CW20" s="1">
        <v>560932602.98000002</v>
      </c>
      <c r="CX20" s="1">
        <v>521196658.12</v>
      </c>
      <c r="CY20" s="1">
        <v>469087369.44</v>
      </c>
      <c r="CZ20" s="1">
        <v>426103763.23000002</v>
      </c>
      <c r="DA20" s="1">
        <v>486331604.47000003</v>
      </c>
      <c r="DB20" s="1">
        <v>388148758.20999998</v>
      </c>
      <c r="DC20" s="1">
        <v>0</v>
      </c>
      <c r="DD20" s="1">
        <v>0</v>
      </c>
      <c r="DE20" s="1">
        <v>0</v>
      </c>
      <c r="DF20" s="1">
        <v>0</v>
      </c>
      <c r="DH20" s="6">
        <f t="shared" si="2"/>
        <v>32432751640.939999</v>
      </c>
    </row>
    <row r="21" spans="1:112" x14ac:dyDescent="0.2">
      <c r="A21" s="5" t="s">
        <v>9</v>
      </c>
      <c r="B21" s="5" t="s">
        <v>42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25621761.629999999</v>
      </c>
      <c r="AF21" s="1">
        <v>38136949.159999996</v>
      </c>
      <c r="AG21" s="1">
        <v>58600805.039999999</v>
      </c>
      <c r="AH21" s="1">
        <v>126666237.91</v>
      </c>
      <c r="AI21" s="1">
        <v>203882793.41</v>
      </c>
      <c r="AJ21" s="1">
        <v>206441153.59</v>
      </c>
      <c r="AK21" s="1">
        <v>226872186.87</v>
      </c>
      <c r="AL21" s="1">
        <v>280443909.98000002</v>
      </c>
      <c r="AM21" s="1">
        <v>319354103.29000002</v>
      </c>
      <c r="AN21" s="1">
        <v>258219369.47999999</v>
      </c>
      <c r="AO21" s="1">
        <v>295211102.88999999</v>
      </c>
      <c r="AP21" s="1">
        <v>241919886.31999999</v>
      </c>
      <c r="AQ21" s="1">
        <v>246488626.34999999</v>
      </c>
      <c r="AR21" s="1">
        <v>227074256.52000001</v>
      </c>
      <c r="AS21" s="1">
        <v>179124675.97999999</v>
      </c>
      <c r="AT21" s="1">
        <v>208271236.88999999</v>
      </c>
      <c r="AU21" s="1">
        <v>402757752.94999999</v>
      </c>
      <c r="AV21" s="1">
        <v>483314746.44999999</v>
      </c>
      <c r="AW21" s="1">
        <v>469007302.06</v>
      </c>
      <c r="AX21" s="1">
        <v>454937195.61000001</v>
      </c>
      <c r="AY21" s="1">
        <v>567106604.63999999</v>
      </c>
      <c r="AZ21" s="1">
        <v>434925327.64999998</v>
      </c>
      <c r="BA21" s="1">
        <v>500203059.22000003</v>
      </c>
      <c r="BB21" s="1">
        <v>389065510.52999997</v>
      </c>
      <c r="BC21" s="1">
        <v>356842203.19999999</v>
      </c>
      <c r="BD21" s="1">
        <v>310371137.33999997</v>
      </c>
      <c r="BE21" s="1">
        <v>256451197.52000001</v>
      </c>
      <c r="BF21" s="1">
        <v>287791796.63999999</v>
      </c>
      <c r="BG21" s="1">
        <v>445624933.04000002</v>
      </c>
      <c r="BH21" s="1">
        <v>521788252.02999997</v>
      </c>
      <c r="BI21" s="1">
        <v>547947364.13</v>
      </c>
      <c r="BJ21" s="1">
        <v>514272416.44</v>
      </c>
      <c r="BK21" s="1">
        <v>542247595.49000001</v>
      </c>
      <c r="BL21" s="1">
        <v>421600512.12</v>
      </c>
      <c r="BM21" s="1">
        <v>489928073.42000002</v>
      </c>
      <c r="BN21" s="1">
        <v>414376175.83999997</v>
      </c>
      <c r="BO21" s="1">
        <v>382054717</v>
      </c>
      <c r="BP21" s="1">
        <v>308214613.69999999</v>
      </c>
      <c r="BQ21" s="1">
        <v>279378370.06999999</v>
      </c>
      <c r="BR21" s="1">
        <v>304170605.41000003</v>
      </c>
      <c r="BS21" s="1">
        <v>507920096.17000002</v>
      </c>
      <c r="BT21" s="1">
        <v>550421803.20000005</v>
      </c>
      <c r="BU21" s="1">
        <v>602920172.29999995</v>
      </c>
      <c r="BV21" s="1">
        <v>711974067.62</v>
      </c>
      <c r="BW21" s="1">
        <v>592187841.36000001</v>
      </c>
      <c r="BX21" s="1">
        <v>533483343.47000003</v>
      </c>
      <c r="BY21" s="1">
        <v>589346843.33000004</v>
      </c>
      <c r="BZ21" s="1">
        <v>507143160.75999999</v>
      </c>
      <c r="CA21" s="1">
        <v>445984690.75</v>
      </c>
      <c r="CB21" s="1">
        <v>348904259.79000002</v>
      </c>
      <c r="CC21" s="1">
        <v>319028627.99000001</v>
      </c>
      <c r="CD21" s="1">
        <v>370277243.76999998</v>
      </c>
      <c r="CE21" s="1">
        <v>558074693.74000001</v>
      </c>
      <c r="CF21" s="1">
        <v>597328811.09000003</v>
      </c>
      <c r="CG21" s="1">
        <v>643948737.74000001</v>
      </c>
      <c r="CH21" s="1">
        <v>644072052.00999999</v>
      </c>
      <c r="CI21" s="1">
        <v>652806885.01999998</v>
      </c>
      <c r="CJ21" s="1">
        <v>493644175</v>
      </c>
      <c r="CK21" s="1">
        <v>614511764.16999996</v>
      </c>
      <c r="CL21" s="1">
        <v>505592301.51999998</v>
      </c>
      <c r="CM21" s="1">
        <v>493411090.88</v>
      </c>
      <c r="CN21" s="1">
        <v>370674291.44999999</v>
      </c>
      <c r="CO21" s="1">
        <v>350627590.33999997</v>
      </c>
      <c r="CP21" s="1">
        <v>414702636</v>
      </c>
      <c r="CQ21" s="1">
        <v>604216848.85000002</v>
      </c>
      <c r="CR21" s="1">
        <v>676414094.63999999</v>
      </c>
      <c r="CS21" s="1">
        <v>691136496.47000003</v>
      </c>
      <c r="CT21" s="1">
        <v>614839560.13</v>
      </c>
      <c r="CU21" s="1">
        <v>626433296.63</v>
      </c>
      <c r="CV21" s="1">
        <v>466338817.54000002</v>
      </c>
      <c r="CW21" s="1">
        <v>558318236.39999998</v>
      </c>
      <c r="CX21" s="1">
        <v>519058955.49000001</v>
      </c>
      <c r="CY21" s="1">
        <v>466783951.25999999</v>
      </c>
      <c r="CZ21" s="1">
        <v>424023977.57999998</v>
      </c>
      <c r="DA21" s="1">
        <v>484985635.62</v>
      </c>
      <c r="DB21" s="1">
        <v>386185784.13</v>
      </c>
      <c r="DC21" s="1">
        <v>0</v>
      </c>
      <c r="DD21" s="1">
        <v>0</v>
      </c>
      <c r="DE21" s="1">
        <v>0</v>
      </c>
      <c r="DF21" s="1">
        <v>0</v>
      </c>
      <c r="DH21" s="6">
        <f t="shared" si="2"/>
        <v>32164429352.020012</v>
      </c>
    </row>
    <row r="22" spans="1:112" x14ac:dyDescent="0.2">
      <c r="A22" s="5" t="s">
        <v>9</v>
      </c>
      <c r="B22" s="5" t="s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>
        <f t="shared" ref="AG22:BN22" si="11">AG20-AG21</f>
        <v>582814.68999999762</v>
      </c>
      <c r="AH22" s="1">
        <f t="shared" si="11"/>
        <v>1979971.1800000072</v>
      </c>
      <c r="AI22" s="1">
        <f t="shared" si="11"/>
        <v>3773149.3100000024</v>
      </c>
      <c r="AJ22" s="1">
        <f t="shared" si="11"/>
        <v>4278667.6800000072</v>
      </c>
      <c r="AK22" s="1">
        <f t="shared" si="11"/>
        <v>4366655.2800000012</v>
      </c>
      <c r="AL22" s="1">
        <f t="shared" si="11"/>
        <v>4107561.7400000095</v>
      </c>
      <c r="AM22" s="1">
        <f t="shared" si="11"/>
        <v>7549358.7699999809</v>
      </c>
      <c r="AN22" s="1">
        <f t="shared" si="11"/>
        <v>8329837.1899999976</v>
      </c>
      <c r="AO22" s="1">
        <f t="shared" si="11"/>
        <v>5779739.280000031</v>
      </c>
      <c r="AP22" s="1">
        <f t="shared" si="11"/>
        <v>2526874.1400000155</v>
      </c>
      <c r="AQ22" s="1">
        <f t="shared" si="11"/>
        <v>2479567</v>
      </c>
      <c r="AR22" s="1">
        <f t="shared" si="11"/>
        <v>2690431.7699999809</v>
      </c>
      <c r="AS22" s="1">
        <f t="shared" si="11"/>
        <v>2203318.9399999976</v>
      </c>
      <c r="AT22" s="1">
        <f t="shared" si="11"/>
        <v>3646947.6200000048</v>
      </c>
      <c r="AU22" s="1">
        <f t="shared" si="11"/>
        <v>5556871.9399999976</v>
      </c>
      <c r="AV22" s="1">
        <f t="shared" si="11"/>
        <v>8138595.1299999952</v>
      </c>
      <c r="AW22" s="1">
        <f t="shared" si="11"/>
        <v>6433926.8899999857</v>
      </c>
      <c r="AX22" s="1">
        <f t="shared" si="11"/>
        <v>6511378.0899999738</v>
      </c>
      <c r="AY22" s="1">
        <f t="shared" si="11"/>
        <v>6613608.560000062</v>
      </c>
      <c r="AZ22" s="1">
        <f t="shared" si="11"/>
        <v>5583093.1600000262</v>
      </c>
      <c r="BA22" s="1">
        <f t="shared" si="11"/>
        <v>5408020.9099999666</v>
      </c>
      <c r="BB22" s="1">
        <f t="shared" si="11"/>
        <v>3246226.8800000548</v>
      </c>
      <c r="BC22" s="1">
        <f t="shared" si="11"/>
        <v>3483234.5400000215</v>
      </c>
      <c r="BD22" s="1">
        <f t="shared" si="11"/>
        <v>2843943.2000000477</v>
      </c>
      <c r="BE22" s="1">
        <f t="shared" si="11"/>
        <v>1963610.2099999785</v>
      </c>
      <c r="BF22" s="1">
        <f t="shared" si="11"/>
        <v>2316172.9200000167</v>
      </c>
      <c r="BG22" s="1">
        <f t="shared" si="11"/>
        <v>4607663.9300000072</v>
      </c>
      <c r="BH22" s="1">
        <f t="shared" si="11"/>
        <v>4831524.9500000477</v>
      </c>
      <c r="BI22" s="1">
        <f t="shared" si="11"/>
        <v>4655648.3799999952</v>
      </c>
      <c r="BJ22" s="1">
        <f t="shared" si="11"/>
        <v>3816351.6399999857</v>
      </c>
      <c r="BK22" s="1">
        <f t="shared" si="11"/>
        <v>4941429.4900000095</v>
      </c>
      <c r="BL22" s="1">
        <f t="shared" si="11"/>
        <v>3542364.5099999905</v>
      </c>
      <c r="BM22" s="1">
        <f t="shared" si="11"/>
        <v>4512136.1699999571</v>
      </c>
      <c r="BN22" s="1">
        <f t="shared" si="11"/>
        <v>3437971.1800000072</v>
      </c>
      <c r="BO22" s="1">
        <f>BO20-BO21</f>
        <v>3187418.5899999738</v>
      </c>
      <c r="BP22" s="1">
        <f t="shared" ref="BP22:DF22" si="12">BP20-BP21</f>
        <v>2441864.6899999976</v>
      </c>
      <c r="BQ22" s="1">
        <f t="shared" si="12"/>
        <v>1732120.2900000215</v>
      </c>
      <c r="BR22" s="1">
        <f t="shared" si="12"/>
        <v>1895185.2799999714</v>
      </c>
      <c r="BS22" s="1">
        <f t="shared" si="12"/>
        <v>4872697.8999999762</v>
      </c>
      <c r="BT22" s="1">
        <f t="shared" si="12"/>
        <v>4437997.9499999285</v>
      </c>
      <c r="BU22" s="1">
        <f t="shared" si="12"/>
        <v>5568094.1800000668</v>
      </c>
      <c r="BV22" s="1">
        <f t="shared" si="12"/>
        <v>4456202.6000000238</v>
      </c>
      <c r="BW22" s="1">
        <f t="shared" si="12"/>
        <v>4498126.3999999762</v>
      </c>
      <c r="BX22" s="1">
        <f t="shared" si="12"/>
        <v>3504917.9299999475</v>
      </c>
      <c r="BY22" s="1">
        <f t="shared" si="12"/>
        <v>3748133.9099999666</v>
      </c>
      <c r="BZ22" s="1">
        <f t="shared" si="12"/>
        <v>2365067.5900000334</v>
      </c>
      <c r="CA22" s="1">
        <f t="shared" si="12"/>
        <v>1577243.7300000191</v>
      </c>
      <c r="CB22" s="1">
        <f t="shared" si="12"/>
        <v>1521350.5999999642</v>
      </c>
      <c r="CC22" s="1">
        <f t="shared" si="12"/>
        <v>1368212.8899999857</v>
      </c>
      <c r="CD22" s="1">
        <f t="shared" si="12"/>
        <v>2101420.0200000405</v>
      </c>
      <c r="CE22" s="1">
        <f t="shared" si="12"/>
        <v>4848396.0099999905</v>
      </c>
      <c r="CF22" s="1">
        <f t="shared" si="12"/>
        <v>3893219.6399999857</v>
      </c>
      <c r="CG22" s="1">
        <f t="shared" si="12"/>
        <v>4003069.2799999714</v>
      </c>
      <c r="CH22" s="1">
        <f t="shared" si="12"/>
        <v>4354581.6900000572</v>
      </c>
      <c r="CI22" s="1">
        <f t="shared" si="12"/>
        <v>4375913.1399999857</v>
      </c>
      <c r="CJ22" s="1">
        <f t="shared" si="12"/>
        <v>2984606.25</v>
      </c>
      <c r="CK22" s="1">
        <f t="shared" si="12"/>
        <v>3532482.5300000906</v>
      </c>
      <c r="CL22" s="1">
        <f t="shared" si="12"/>
        <v>2268529.6400000453</v>
      </c>
      <c r="CM22" s="1">
        <f t="shared" si="12"/>
        <v>1921765.4599999785</v>
      </c>
      <c r="CN22" s="1">
        <f t="shared" si="12"/>
        <v>1819174.0400000215</v>
      </c>
      <c r="CO22" s="1">
        <f t="shared" si="12"/>
        <v>1682250.6400000453</v>
      </c>
      <c r="CP22" s="1">
        <f t="shared" si="12"/>
        <v>2524213.9300000072</v>
      </c>
      <c r="CQ22" s="1">
        <f t="shared" si="12"/>
        <v>4550856.2799999714</v>
      </c>
      <c r="CR22" s="1">
        <f t="shared" si="12"/>
        <v>4126017.9099999666</v>
      </c>
      <c r="CS22" s="1">
        <f t="shared" si="12"/>
        <v>3476038.8600000143</v>
      </c>
      <c r="CT22" s="1">
        <f t="shared" si="12"/>
        <v>3546413.5199999809</v>
      </c>
      <c r="CU22" s="1">
        <f t="shared" si="12"/>
        <v>3787926.3899999857</v>
      </c>
      <c r="CV22" s="1">
        <f t="shared" si="12"/>
        <v>2167895.9199999571</v>
      </c>
      <c r="CW22" s="1">
        <f t="shared" si="12"/>
        <v>2614366.5800000429</v>
      </c>
      <c r="CX22" s="1">
        <f t="shared" si="12"/>
        <v>2137702.6299999952</v>
      </c>
      <c r="CY22" s="1">
        <f t="shared" si="12"/>
        <v>2303418.1800000072</v>
      </c>
      <c r="CZ22" s="1">
        <f t="shared" si="12"/>
        <v>2079785.6500000358</v>
      </c>
      <c r="DA22" s="1">
        <f t="shared" si="12"/>
        <v>1345968.8500000238</v>
      </c>
      <c r="DB22" s="1">
        <f t="shared" si="12"/>
        <v>1962974.0799999833</v>
      </c>
      <c r="DC22" s="1">
        <f t="shared" si="12"/>
        <v>0</v>
      </c>
      <c r="DD22" s="1">
        <f t="shared" si="12"/>
        <v>0</v>
      </c>
      <c r="DE22" s="1">
        <f t="shared" si="12"/>
        <v>0</v>
      </c>
      <c r="DF22" s="1">
        <f t="shared" si="12"/>
        <v>0</v>
      </c>
      <c r="DH22" s="6">
        <f t="shared" si="2"/>
        <v>268322288.9200002</v>
      </c>
    </row>
    <row r="23" spans="1:112" x14ac:dyDescent="0.2">
      <c r="A23" s="5" t="s">
        <v>9</v>
      </c>
      <c r="B23" s="5" t="s">
        <v>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2565728.8599999994</v>
      </c>
      <c r="AF23" s="1">
        <v>3484014.6099999994</v>
      </c>
      <c r="AG23" s="1">
        <v>5196598.6599999964</v>
      </c>
      <c r="AH23" s="1">
        <v>7519598.6700000018</v>
      </c>
      <c r="AI23" s="1">
        <v>4166334.2100000083</v>
      </c>
      <c r="AJ23" s="1">
        <v>17402408.700000018</v>
      </c>
      <c r="AK23" s="1">
        <v>18354655.080000013</v>
      </c>
      <c r="AL23" s="1">
        <v>17151866.650000036</v>
      </c>
      <c r="AM23" s="1">
        <v>23144535.050000012</v>
      </c>
      <c r="AN23" s="1">
        <v>10444810.059999973</v>
      </c>
      <c r="AO23" s="1">
        <v>20365119.340000033</v>
      </c>
      <c r="AP23" s="1">
        <v>17563939.140000015</v>
      </c>
      <c r="AQ23" s="1">
        <v>15129108.120000005</v>
      </c>
      <c r="AR23" s="1">
        <v>19730957.400000006</v>
      </c>
      <c r="AS23" s="1">
        <v>15652460.780000001</v>
      </c>
      <c r="AT23" s="1">
        <v>15228343.280000001</v>
      </c>
      <c r="AU23" s="1">
        <v>22658629.649999976</v>
      </c>
      <c r="AV23" s="1">
        <v>28616707.639999986</v>
      </c>
      <c r="AW23" s="1">
        <v>36781847.979999959</v>
      </c>
      <c r="AX23" s="1">
        <v>24732486.800000012</v>
      </c>
      <c r="AY23" s="1">
        <v>34640219.200000048</v>
      </c>
      <c r="AZ23" s="1">
        <v>19604490.199999988</v>
      </c>
      <c r="BA23" s="1">
        <v>28238194.149999976</v>
      </c>
      <c r="BB23" s="1">
        <v>22571887.230000019</v>
      </c>
      <c r="BC23" s="1">
        <v>27119329.319999993</v>
      </c>
      <c r="BD23" s="1">
        <v>6781091.8500000238</v>
      </c>
      <c r="BE23" s="1">
        <v>20802880.859999985</v>
      </c>
      <c r="BF23" s="1">
        <v>25859270.199999988</v>
      </c>
      <c r="BG23" s="1">
        <v>51339659.25</v>
      </c>
      <c r="BH23" s="1">
        <v>36514974.080000043</v>
      </c>
      <c r="BI23" s="1">
        <v>37569022.310000002</v>
      </c>
      <c r="BJ23" s="1">
        <v>40909237.870000005</v>
      </c>
      <c r="BK23" s="1">
        <v>35482561.830000043</v>
      </c>
      <c r="BL23" s="1">
        <v>22599602.209999979</v>
      </c>
      <c r="BM23" s="1">
        <v>45935669.00999999</v>
      </c>
      <c r="BN23" s="1">
        <v>35148591.779999971</v>
      </c>
      <c r="BO23" s="1">
        <v>31406903.029999971</v>
      </c>
      <c r="BP23" s="1">
        <v>9223661.3000000119</v>
      </c>
      <c r="BQ23" s="1">
        <v>24962106</v>
      </c>
      <c r="BR23" s="1">
        <v>25873057.730000019</v>
      </c>
      <c r="BS23" s="1">
        <v>45276516.949999988</v>
      </c>
      <c r="BT23" s="1">
        <v>46914491.620000005</v>
      </c>
      <c r="BU23" s="1">
        <v>28585605.690000057</v>
      </c>
      <c r="BV23" s="1">
        <v>40537499.139999986</v>
      </c>
      <c r="BW23" s="1">
        <v>53490322.539999962</v>
      </c>
      <c r="BX23" s="1">
        <v>25762378.23999995</v>
      </c>
      <c r="BY23" s="1">
        <v>45041776.289999962</v>
      </c>
      <c r="BZ23" s="1">
        <v>32028036.330000043</v>
      </c>
      <c r="CA23" s="1">
        <v>44991355.210000038</v>
      </c>
      <c r="CB23" s="1">
        <v>28196297.25</v>
      </c>
      <c r="CC23" s="1">
        <v>32548659.029999971</v>
      </c>
      <c r="CD23" s="1">
        <v>33202184.069999993</v>
      </c>
      <c r="CE23" s="1">
        <v>55092144</v>
      </c>
      <c r="CF23" s="1">
        <v>39328305.379999995</v>
      </c>
      <c r="CG23" s="1">
        <v>55666474.789999962</v>
      </c>
      <c r="CH23" s="1">
        <v>29828799.100000024</v>
      </c>
      <c r="CI23" s="1">
        <v>60909818.74000001</v>
      </c>
      <c r="CJ23" s="1">
        <v>46377521.199999988</v>
      </c>
      <c r="CK23" s="1">
        <v>36247840.670000076</v>
      </c>
      <c r="CL23" s="1">
        <v>47275156.180000007</v>
      </c>
      <c r="CM23" s="1">
        <v>49043012.639999986</v>
      </c>
      <c r="CN23" s="1">
        <v>39848629.800000012</v>
      </c>
      <c r="CO23" s="1">
        <v>35533248.470000029</v>
      </c>
      <c r="CP23" s="1">
        <v>47545937.620000005</v>
      </c>
      <c r="CQ23" s="1">
        <v>45996967.269999981</v>
      </c>
      <c r="CR23" s="1">
        <v>62172858.969999909</v>
      </c>
      <c r="CS23" s="1">
        <v>58597752.440000057</v>
      </c>
      <c r="CT23" s="1">
        <v>59583229.389999986</v>
      </c>
      <c r="CU23" s="1">
        <v>57808187.419999957</v>
      </c>
      <c r="CV23" s="1">
        <v>39871432.889999986</v>
      </c>
      <c r="CW23" s="1">
        <v>51053658.75999999</v>
      </c>
      <c r="CX23" s="1">
        <v>49863057.430000007</v>
      </c>
      <c r="CY23" s="1">
        <v>44653912.410000026</v>
      </c>
      <c r="CZ23" s="1">
        <v>31201125.800000012</v>
      </c>
      <c r="DA23" s="1">
        <v>46732908.440000057</v>
      </c>
      <c r="DB23" s="1">
        <v>32951229.329999983</v>
      </c>
      <c r="DC23" s="1">
        <v>0</v>
      </c>
      <c r="DD23" s="1">
        <v>0</v>
      </c>
      <c r="DE23" s="1">
        <v>0</v>
      </c>
      <c r="DF23" s="1">
        <v>0</v>
      </c>
      <c r="DH23" s="6">
        <f t="shared" si="2"/>
        <v>2488230891.5900002</v>
      </c>
    </row>
    <row r="24" spans="1:112" x14ac:dyDescent="0.2">
      <c r="A24" s="5" t="s">
        <v>9</v>
      </c>
      <c r="B24" s="5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v>2565728.8599999994</v>
      </c>
      <c r="AF24" s="1">
        <v>3484014.6099999994</v>
      </c>
      <c r="AG24" s="1">
        <v>5031039.0899999961</v>
      </c>
      <c r="AH24" s="1">
        <v>7275869.75</v>
      </c>
      <c r="AI24" s="1">
        <v>3763074.9099999964</v>
      </c>
      <c r="AJ24" s="1">
        <v>16724465.659999996</v>
      </c>
      <c r="AK24" s="1">
        <v>17649017.939999998</v>
      </c>
      <c r="AL24" s="1">
        <v>16559673.950000018</v>
      </c>
      <c r="AM24" s="1">
        <v>22663259.390000045</v>
      </c>
      <c r="AN24" s="1">
        <v>10992246.119999975</v>
      </c>
      <c r="AO24" s="1">
        <v>21376862.430000007</v>
      </c>
      <c r="AP24" s="1">
        <v>17377647.919999987</v>
      </c>
      <c r="AQ24" s="1">
        <v>14944266.680000007</v>
      </c>
      <c r="AR24" s="1">
        <v>19535011.890000015</v>
      </c>
      <c r="AS24" s="1">
        <v>15409216.129999995</v>
      </c>
      <c r="AT24" s="1">
        <v>14998097.409999996</v>
      </c>
      <c r="AU24" s="1">
        <v>22322023.589999974</v>
      </c>
      <c r="AV24" s="1">
        <v>28233217.689999998</v>
      </c>
      <c r="AW24" s="1">
        <v>36592443.639999986</v>
      </c>
      <c r="AX24" s="1">
        <v>24576031.99000001</v>
      </c>
      <c r="AY24" s="1">
        <v>34203129.399999976</v>
      </c>
      <c r="AZ24" s="1">
        <v>19640614.459999979</v>
      </c>
      <c r="BA24" s="1">
        <v>28058868.800000012</v>
      </c>
      <c r="BB24" s="1">
        <v>22191914.929999948</v>
      </c>
      <c r="BC24" s="1">
        <v>26851871.519999981</v>
      </c>
      <c r="BD24" s="1">
        <v>6541765.1499999762</v>
      </c>
      <c r="BE24" s="1">
        <v>20762277.74000001</v>
      </c>
      <c r="BF24" s="1">
        <v>25277508.75</v>
      </c>
      <c r="BG24" s="1">
        <v>50680011.950000048</v>
      </c>
      <c r="BH24" s="1">
        <v>36247846.349999964</v>
      </c>
      <c r="BI24" s="1">
        <v>37115397.170000017</v>
      </c>
      <c r="BJ24" s="1">
        <v>40657329.579999983</v>
      </c>
      <c r="BK24" s="1">
        <v>35375969.680000007</v>
      </c>
      <c r="BL24" s="1">
        <v>22549657.629999995</v>
      </c>
      <c r="BM24" s="1">
        <v>45763226.090000033</v>
      </c>
      <c r="BN24" s="1">
        <v>34922707.589999974</v>
      </c>
      <c r="BO24" s="1">
        <v>31190469.709999979</v>
      </c>
      <c r="BP24" s="1">
        <v>9897722.6299999952</v>
      </c>
      <c r="BQ24" s="1">
        <v>24817940.469999999</v>
      </c>
      <c r="BR24" s="1">
        <v>25624326.060000002</v>
      </c>
      <c r="BS24" s="1">
        <v>44398413.25999999</v>
      </c>
      <c r="BT24" s="1">
        <v>47004497.030000031</v>
      </c>
      <c r="BU24" s="1">
        <v>28215986.839999914</v>
      </c>
      <c r="BV24" s="1">
        <v>40473952.889999986</v>
      </c>
      <c r="BW24" s="1">
        <v>53299928.519999981</v>
      </c>
      <c r="BX24" s="1">
        <v>25907360.550000012</v>
      </c>
      <c r="BY24" s="1">
        <v>44876012.74000001</v>
      </c>
      <c r="BZ24" s="1">
        <v>32188202.74000001</v>
      </c>
      <c r="CA24" s="1">
        <v>44970973.790000021</v>
      </c>
      <c r="CB24" s="1">
        <v>28085098.160000026</v>
      </c>
      <c r="CC24" s="1">
        <v>32370267.889999986</v>
      </c>
      <c r="CD24" s="1">
        <v>32502752.029999971</v>
      </c>
      <c r="CE24" s="1">
        <v>54627645.199999988</v>
      </c>
      <c r="CF24" s="1">
        <v>39686820.5</v>
      </c>
      <c r="CG24" s="1">
        <v>55628444.75</v>
      </c>
      <c r="CH24" s="1">
        <v>29868620.039999962</v>
      </c>
      <c r="CI24" s="1">
        <v>60818258.449999928</v>
      </c>
      <c r="CJ24" s="1">
        <v>46224974.110000014</v>
      </c>
      <c r="CK24" s="1">
        <v>36016142.75999999</v>
      </c>
      <c r="CL24" s="1">
        <v>47071364.109999955</v>
      </c>
      <c r="CM24" s="1">
        <v>49029432.790000021</v>
      </c>
      <c r="CN24" s="1">
        <v>39617225.839999974</v>
      </c>
      <c r="CO24" s="1">
        <v>35499738.959999979</v>
      </c>
      <c r="CP24" s="1">
        <v>47098274.74000001</v>
      </c>
      <c r="CQ24" s="1">
        <v>45712046.99000001</v>
      </c>
      <c r="CR24" s="1">
        <v>62046825.850000024</v>
      </c>
      <c r="CS24" s="1">
        <v>58385847.410000086</v>
      </c>
      <c r="CT24" s="1">
        <v>59028627.070000052</v>
      </c>
      <c r="CU24" s="1">
        <v>57620041.159999967</v>
      </c>
      <c r="CV24" s="1">
        <v>40033114.410000026</v>
      </c>
      <c r="CW24" s="1">
        <v>50811836.5</v>
      </c>
      <c r="CX24" s="1">
        <v>49741792.050000012</v>
      </c>
      <c r="CY24" s="1">
        <v>44506706.599999964</v>
      </c>
      <c r="CZ24" s="1">
        <v>30970403.569999993</v>
      </c>
      <c r="DA24" s="1">
        <v>46692707.939999998</v>
      </c>
      <c r="DB24" s="1">
        <v>32555783.189999998</v>
      </c>
      <c r="DC24" s="1">
        <v>0</v>
      </c>
      <c r="DD24" s="1">
        <v>0</v>
      </c>
      <c r="DE24" s="1">
        <v>0</v>
      </c>
      <c r="DF24" s="1">
        <v>0</v>
      </c>
      <c r="DH24" s="6">
        <f t="shared" si="2"/>
        <v>2474029886.7399998</v>
      </c>
    </row>
    <row r="25" spans="1:112" x14ac:dyDescent="0.2">
      <c r="A25" s="5" t="s">
        <v>9</v>
      </c>
      <c r="B25" s="5" t="s">
        <v>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f t="shared" ref="AG25:BN25" si="13">AG23-AG24</f>
        <v>165559.5700000003</v>
      </c>
      <c r="AH25" s="1">
        <f t="shared" si="13"/>
        <v>243728.92000000179</v>
      </c>
      <c r="AI25" s="1">
        <f t="shared" si="13"/>
        <v>403259.30000001192</v>
      </c>
      <c r="AJ25" s="1">
        <f t="shared" si="13"/>
        <v>677943.04000002146</v>
      </c>
      <c r="AK25" s="1">
        <f t="shared" si="13"/>
        <v>705637.1400000155</v>
      </c>
      <c r="AL25" s="1">
        <f t="shared" si="13"/>
        <v>592192.70000001788</v>
      </c>
      <c r="AM25" s="1">
        <f t="shared" si="13"/>
        <v>481275.65999996662</v>
      </c>
      <c r="AN25" s="1">
        <f t="shared" si="13"/>
        <v>-547436.06000000238</v>
      </c>
      <c r="AO25" s="1">
        <f t="shared" si="13"/>
        <v>-1011743.0899999738</v>
      </c>
      <c r="AP25" s="1">
        <f t="shared" si="13"/>
        <v>186291.22000002861</v>
      </c>
      <c r="AQ25" s="1">
        <f t="shared" si="13"/>
        <v>184841.43999999762</v>
      </c>
      <c r="AR25" s="1">
        <f t="shared" si="13"/>
        <v>195945.50999999046</v>
      </c>
      <c r="AS25" s="1">
        <f t="shared" si="13"/>
        <v>243244.65000000596</v>
      </c>
      <c r="AT25" s="1">
        <f t="shared" si="13"/>
        <v>230245.87000000477</v>
      </c>
      <c r="AU25" s="1">
        <f t="shared" si="13"/>
        <v>336606.06000000238</v>
      </c>
      <c r="AV25" s="1">
        <f t="shared" si="13"/>
        <v>383489.94999998808</v>
      </c>
      <c r="AW25" s="1">
        <f t="shared" si="13"/>
        <v>189404.33999997377</v>
      </c>
      <c r="AX25" s="1">
        <f t="shared" si="13"/>
        <v>156454.81000000238</v>
      </c>
      <c r="AY25" s="1">
        <f t="shared" si="13"/>
        <v>437089.80000007153</v>
      </c>
      <c r="AZ25" s="1">
        <f t="shared" si="13"/>
        <v>-36124.259999990463</v>
      </c>
      <c r="BA25" s="1">
        <f t="shared" si="13"/>
        <v>179325.34999996424</v>
      </c>
      <c r="BB25" s="1">
        <f t="shared" si="13"/>
        <v>379972.30000007153</v>
      </c>
      <c r="BC25" s="1">
        <f t="shared" si="13"/>
        <v>267457.80000001192</v>
      </c>
      <c r="BD25" s="1">
        <f t="shared" si="13"/>
        <v>239326.70000004768</v>
      </c>
      <c r="BE25" s="1">
        <f t="shared" si="13"/>
        <v>40603.119999974966</v>
      </c>
      <c r="BF25" s="1">
        <f t="shared" si="13"/>
        <v>581761.44999998808</v>
      </c>
      <c r="BG25" s="1">
        <f t="shared" si="13"/>
        <v>659647.29999995232</v>
      </c>
      <c r="BH25" s="1">
        <f t="shared" si="13"/>
        <v>267127.73000007868</v>
      </c>
      <c r="BI25" s="1">
        <f t="shared" si="13"/>
        <v>453625.13999998569</v>
      </c>
      <c r="BJ25" s="1">
        <f t="shared" si="13"/>
        <v>251908.29000002146</v>
      </c>
      <c r="BK25" s="1">
        <f t="shared" si="13"/>
        <v>106592.15000003576</v>
      </c>
      <c r="BL25" s="1">
        <f t="shared" si="13"/>
        <v>49944.579999983311</v>
      </c>
      <c r="BM25" s="1">
        <f t="shared" si="13"/>
        <v>172442.91999995708</v>
      </c>
      <c r="BN25" s="1">
        <f t="shared" si="13"/>
        <v>225884.18999999762</v>
      </c>
      <c r="BO25" s="1">
        <f>BO23-BO24</f>
        <v>216433.31999999285</v>
      </c>
      <c r="BP25" s="1">
        <f t="shared" ref="BP25:DF25" si="14">BP23-BP24</f>
        <v>-674061.32999998331</v>
      </c>
      <c r="BQ25" s="1">
        <f t="shared" si="14"/>
        <v>144165.53000000119</v>
      </c>
      <c r="BR25" s="1">
        <f t="shared" si="14"/>
        <v>248731.67000001669</v>
      </c>
      <c r="BS25" s="1">
        <f t="shared" si="14"/>
        <v>878103.68999999762</v>
      </c>
      <c r="BT25" s="1">
        <f t="shared" si="14"/>
        <v>-90005.410000026226</v>
      </c>
      <c r="BU25" s="1">
        <f t="shared" si="14"/>
        <v>369618.85000014305</v>
      </c>
      <c r="BV25" s="1">
        <f t="shared" si="14"/>
        <v>63546.25</v>
      </c>
      <c r="BW25" s="1">
        <f t="shared" si="14"/>
        <v>190394.01999998093</v>
      </c>
      <c r="BX25" s="1">
        <f t="shared" si="14"/>
        <v>-144982.31000006199</v>
      </c>
      <c r="BY25" s="1">
        <f t="shared" si="14"/>
        <v>165763.54999995232</v>
      </c>
      <c r="BZ25" s="1">
        <f t="shared" si="14"/>
        <v>-160166.40999996662</v>
      </c>
      <c r="CA25" s="1">
        <f t="shared" si="14"/>
        <v>20381.420000016689</v>
      </c>
      <c r="CB25" s="1">
        <f t="shared" si="14"/>
        <v>111199.08999997377</v>
      </c>
      <c r="CC25" s="1">
        <f t="shared" si="14"/>
        <v>178391.13999998569</v>
      </c>
      <c r="CD25" s="1">
        <f t="shared" si="14"/>
        <v>699432.04000002146</v>
      </c>
      <c r="CE25" s="1">
        <f t="shared" si="14"/>
        <v>464498.80000001192</v>
      </c>
      <c r="CF25" s="1">
        <f t="shared" si="14"/>
        <v>-358515.12000000477</v>
      </c>
      <c r="CG25" s="1">
        <f t="shared" si="14"/>
        <v>38030.039999961853</v>
      </c>
      <c r="CH25" s="1">
        <f t="shared" si="14"/>
        <v>-39820.939999938011</v>
      </c>
      <c r="CI25" s="1">
        <f t="shared" si="14"/>
        <v>91560.290000081062</v>
      </c>
      <c r="CJ25" s="1">
        <f t="shared" si="14"/>
        <v>152547.08999997377</v>
      </c>
      <c r="CK25" s="1">
        <f t="shared" si="14"/>
        <v>231697.91000008583</v>
      </c>
      <c r="CL25" s="1">
        <f t="shared" si="14"/>
        <v>203792.07000005245</v>
      </c>
      <c r="CM25" s="1">
        <f t="shared" si="14"/>
        <v>13579.849999964237</v>
      </c>
      <c r="CN25" s="1">
        <f t="shared" si="14"/>
        <v>231403.96000003815</v>
      </c>
      <c r="CO25" s="1">
        <f t="shared" si="14"/>
        <v>33509.510000050068</v>
      </c>
      <c r="CP25" s="1">
        <f t="shared" si="14"/>
        <v>447662.87999999523</v>
      </c>
      <c r="CQ25" s="1">
        <f t="shared" si="14"/>
        <v>284920.27999997139</v>
      </c>
      <c r="CR25" s="1">
        <f t="shared" si="14"/>
        <v>126033.11999988556</v>
      </c>
      <c r="CS25" s="1">
        <f t="shared" si="14"/>
        <v>211905.02999997139</v>
      </c>
      <c r="CT25" s="1">
        <f t="shared" si="14"/>
        <v>554602.31999993324</v>
      </c>
      <c r="CU25" s="1">
        <f t="shared" si="14"/>
        <v>188146.25999999046</v>
      </c>
      <c r="CV25" s="1">
        <f t="shared" si="14"/>
        <v>-161681.52000004053</v>
      </c>
      <c r="CW25" s="1">
        <f t="shared" si="14"/>
        <v>241822.25999999046</v>
      </c>
      <c r="CX25" s="1">
        <f t="shared" si="14"/>
        <v>121265.37999999523</v>
      </c>
      <c r="CY25" s="1">
        <f t="shared" si="14"/>
        <v>147205.81000006199</v>
      </c>
      <c r="CZ25" s="1">
        <f t="shared" si="14"/>
        <v>230722.23000001907</v>
      </c>
      <c r="DA25" s="1">
        <f t="shared" si="14"/>
        <v>40200.500000059605</v>
      </c>
      <c r="DB25" s="1">
        <f t="shared" si="14"/>
        <v>395446.13999998569</v>
      </c>
      <c r="DC25" s="1">
        <f t="shared" si="14"/>
        <v>0</v>
      </c>
      <c r="DD25" s="1">
        <f t="shared" si="14"/>
        <v>0</v>
      </c>
      <c r="DE25" s="1">
        <f t="shared" si="14"/>
        <v>0</v>
      </c>
      <c r="DF25" s="1">
        <f t="shared" si="14"/>
        <v>0</v>
      </c>
      <c r="DH25" s="6">
        <f t="shared" si="2"/>
        <v>14201004.850000344</v>
      </c>
    </row>
    <row r="26" spans="1:112" x14ac:dyDescent="0.2">
      <c r="A26" s="5" t="s">
        <v>9</v>
      </c>
      <c r="B26" s="5" t="s">
        <v>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v>965375.5</v>
      </c>
      <c r="AF26" s="1">
        <v>2170234</v>
      </c>
      <c r="AG26" s="1">
        <v>2418669.1</v>
      </c>
      <c r="AH26" s="1">
        <v>1894618.4</v>
      </c>
      <c r="AI26" s="1">
        <v>697716.39999999991</v>
      </c>
      <c r="AJ26" s="1">
        <v>8247002.3999999994</v>
      </c>
      <c r="AK26" s="1">
        <v>7938200.4000000004</v>
      </c>
      <c r="AL26" s="1">
        <v>5314897.7</v>
      </c>
      <c r="AM26" s="1">
        <v>11957741.499999998</v>
      </c>
      <c r="AN26" s="1">
        <v>3322274.9</v>
      </c>
      <c r="AO26" s="1">
        <v>10608542.9</v>
      </c>
      <c r="AP26" s="1">
        <v>10826105.6</v>
      </c>
      <c r="AQ26" s="1">
        <v>6356406.5</v>
      </c>
      <c r="AR26" s="1">
        <v>11864548.1</v>
      </c>
      <c r="AS26" s="1">
        <v>9991106.2999999989</v>
      </c>
      <c r="AT26" s="1">
        <v>7285179.3999999994</v>
      </c>
      <c r="AU26" s="1">
        <v>4830477.7</v>
      </c>
      <c r="AV26" s="1">
        <v>12468044.399999999</v>
      </c>
      <c r="AW26" s="1">
        <v>19816403.099999998</v>
      </c>
      <c r="AX26" s="1">
        <v>7705608.8999999994</v>
      </c>
      <c r="AY26" s="1">
        <v>14479523.300000001</v>
      </c>
      <c r="AZ26" s="1">
        <v>3147313.4999999995</v>
      </c>
      <c r="BA26" s="1">
        <v>13130757.299999999</v>
      </c>
      <c r="BB26" s="1">
        <v>12317422.5</v>
      </c>
      <c r="BC26" s="1">
        <v>16591892.6</v>
      </c>
      <c r="BD26" s="1">
        <v>2682804.7999999998</v>
      </c>
      <c r="BE26" s="1">
        <v>10921816.299999999</v>
      </c>
      <c r="BF26" s="1">
        <v>18222722.800000001</v>
      </c>
      <c r="BG26" s="1">
        <v>29893424.699999999</v>
      </c>
      <c r="BH26" s="1">
        <v>23307045.899999999</v>
      </c>
      <c r="BI26" s="1">
        <v>25815334.799999997</v>
      </c>
      <c r="BJ26" s="1">
        <v>25837113.999999996</v>
      </c>
      <c r="BK26" s="1">
        <v>25864569.300000001</v>
      </c>
      <c r="BL26" s="1">
        <v>12573316.1</v>
      </c>
      <c r="BM26" s="1">
        <v>31030242.599999998</v>
      </c>
      <c r="BN26" s="1">
        <v>25826148.599999998</v>
      </c>
      <c r="BO26" s="1">
        <v>22180840.899999999</v>
      </c>
      <c r="BP26" s="1">
        <v>4419505.8</v>
      </c>
      <c r="BQ26" s="1">
        <v>17787725.899999999</v>
      </c>
      <c r="BR26" s="1">
        <v>18060252.899999999</v>
      </c>
      <c r="BS26" s="1">
        <v>31261360.699999996</v>
      </c>
      <c r="BT26" s="1">
        <v>33514821.499999996</v>
      </c>
      <c r="BU26" s="1">
        <v>14892244.699999999</v>
      </c>
      <c r="BV26" s="1">
        <v>36823347.899999999</v>
      </c>
      <c r="BW26" s="1">
        <v>41283692.899999999</v>
      </c>
      <c r="BX26" s="1">
        <v>13021687.799999999</v>
      </c>
      <c r="BY26" s="1">
        <v>28525915.399999999</v>
      </c>
      <c r="BZ26" s="1">
        <v>19106555.599999998</v>
      </c>
      <c r="CA26" s="1">
        <v>32063262.599999998</v>
      </c>
      <c r="CB26" s="1">
        <v>18168611.199999999</v>
      </c>
      <c r="CC26" s="1">
        <v>23697300.800000001</v>
      </c>
      <c r="CD26" s="1">
        <v>23754428.099999998</v>
      </c>
      <c r="CE26" s="1">
        <v>40498023.100000001</v>
      </c>
      <c r="CF26" s="1">
        <v>24749405.599999998</v>
      </c>
      <c r="CG26" s="1">
        <v>39586111.699999996</v>
      </c>
      <c r="CH26" s="1">
        <v>14886067.399999999</v>
      </c>
      <c r="CI26" s="1">
        <v>44435736.100000001</v>
      </c>
      <c r="CJ26" s="1">
        <v>34317656.600000001</v>
      </c>
      <c r="CK26" s="1">
        <v>21575547.299999997</v>
      </c>
      <c r="CL26" s="1">
        <v>34021217.5</v>
      </c>
      <c r="CM26" s="1">
        <v>35871979.799999997</v>
      </c>
      <c r="CN26" s="1">
        <v>30797223.899999999</v>
      </c>
      <c r="CO26" s="1">
        <v>27155323.399999999</v>
      </c>
      <c r="CP26" s="1">
        <v>37051702.5</v>
      </c>
      <c r="CQ26" s="1">
        <v>32360737.799999997</v>
      </c>
      <c r="CR26" s="1">
        <v>47583579.800000004</v>
      </c>
      <c r="CS26" s="1">
        <v>44894270.799999997</v>
      </c>
      <c r="CT26" s="1">
        <v>46317543.399999999</v>
      </c>
      <c r="CU26" s="1">
        <v>50221821.100000001</v>
      </c>
      <c r="CV26" s="1">
        <v>34433599</v>
      </c>
      <c r="CW26" s="1">
        <v>43880715.399999999</v>
      </c>
      <c r="CX26" s="1">
        <v>43556674.199999996</v>
      </c>
      <c r="CY26" s="1">
        <v>38629542.699999996</v>
      </c>
      <c r="CZ26" s="1">
        <v>25959546.899999999</v>
      </c>
      <c r="DA26" s="1">
        <v>45628887.099999994</v>
      </c>
      <c r="DB26" s="1">
        <v>31548428.899999999</v>
      </c>
      <c r="DC26" s="1">
        <v>0</v>
      </c>
      <c r="DD26" s="1">
        <v>0</v>
      </c>
      <c r="DE26" s="1">
        <v>0</v>
      </c>
      <c r="DF26" s="1">
        <v>0</v>
      </c>
      <c r="DH26" s="6">
        <f t="shared" si="2"/>
        <v>1686843499.0000005</v>
      </c>
    </row>
    <row r="27" spans="1:112" x14ac:dyDescent="0.2">
      <c r="A27" s="5" t="s">
        <v>9</v>
      </c>
      <c r="B27" s="5" t="s">
        <v>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>
        <v>96537.55</v>
      </c>
      <c r="AF27" s="1">
        <v>217023.4</v>
      </c>
      <c r="AG27" s="1">
        <v>241866.91</v>
      </c>
      <c r="AH27" s="1">
        <v>189461.84</v>
      </c>
      <c r="AI27" s="1">
        <v>69771.64</v>
      </c>
      <c r="AJ27" s="1">
        <v>824700.24</v>
      </c>
      <c r="AK27" s="1">
        <v>793820.04</v>
      </c>
      <c r="AL27" s="1">
        <v>531489.77</v>
      </c>
      <c r="AM27" s="1">
        <v>1195774.1499999999</v>
      </c>
      <c r="AN27" s="1">
        <v>332227.49</v>
      </c>
      <c r="AO27" s="1">
        <v>1060854.29</v>
      </c>
      <c r="AP27" s="1">
        <v>1082610.56</v>
      </c>
      <c r="AQ27" s="1">
        <v>635640.65</v>
      </c>
      <c r="AR27" s="1">
        <v>1186454.81</v>
      </c>
      <c r="AS27" s="1">
        <v>999110.63</v>
      </c>
      <c r="AT27" s="1">
        <v>728517.94</v>
      </c>
      <c r="AU27" s="1">
        <v>483047.77</v>
      </c>
      <c r="AV27" s="1">
        <v>1246804.44</v>
      </c>
      <c r="AW27" s="1">
        <v>1981640.31</v>
      </c>
      <c r="AX27" s="1">
        <v>770560.89</v>
      </c>
      <c r="AY27" s="1">
        <v>1447952.33</v>
      </c>
      <c r="AZ27" s="1">
        <v>314731.34999999998</v>
      </c>
      <c r="BA27" s="1">
        <v>1313075.73</v>
      </c>
      <c r="BB27" s="1">
        <v>1231742.25</v>
      </c>
      <c r="BC27" s="1">
        <v>1659189.26</v>
      </c>
      <c r="BD27" s="1">
        <v>268280.48</v>
      </c>
      <c r="BE27" s="1">
        <v>1092181.6299999999</v>
      </c>
      <c r="BF27" s="1">
        <v>1822272.28</v>
      </c>
      <c r="BG27" s="1">
        <v>2989342.47</v>
      </c>
      <c r="BH27" s="1">
        <v>2330704.59</v>
      </c>
      <c r="BI27" s="1">
        <v>2581533.48</v>
      </c>
      <c r="BJ27" s="1">
        <v>2583711.4</v>
      </c>
      <c r="BK27" s="1">
        <v>2586456.9300000002</v>
      </c>
      <c r="BL27" s="1">
        <v>1257331.6100000001</v>
      </c>
      <c r="BM27" s="1">
        <v>3103024.26</v>
      </c>
      <c r="BN27" s="1">
        <v>2582614.86</v>
      </c>
      <c r="BO27" s="1">
        <v>2218084.09</v>
      </c>
      <c r="BP27" s="1">
        <v>441950.58</v>
      </c>
      <c r="BQ27" s="1">
        <v>1778772.59</v>
      </c>
      <c r="BR27" s="1">
        <v>1806025.29</v>
      </c>
      <c r="BS27" s="1">
        <v>3126136.07</v>
      </c>
      <c r="BT27" s="1">
        <v>3351482.15</v>
      </c>
      <c r="BU27" s="1">
        <v>1489224.47</v>
      </c>
      <c r="BV27" s="1">
        <v>3682334.79</v>
      </c>
      <c r="BW27" s="1">
        <v>4128369.29</v>
      </c>
      <c r="BX27" s="1">
        <v>1302168.78</v>
      </c>
      <c r="BY27" s="1">
        <v>2852591.54</v>
      </c>
      <c r="BZ27" s="1">
        <v>1910655.56</v>
      </c>
      <c r="CA27" s="1">
        <v>3206326.26</v>
      </c>
      <c r="CB27" s="1">
        <v>1816861.12</v>
      </c>
      <c r="CC27" s="1">
        <v>2369730.08</v>
      </c>
      <c r="CD27" s="1">
        <v>2375442.81</v>
      </c>
      <c r="CE27" s="1">
        <v>4049802.31</v>
      </c>
      <c r="CF27" s="1">
        <v>2474940.56</v>
      </c>
      <c r="CG27" s="1">
        <v>3958611.17</v>
      </c>
      <c r="CH27" s="1">
        <v>1488606.74</v>
      </c>
      <c r="CI27" s="1">
        <v>4443573.6100000003</v>
      </c>
      <c r="CJ27" s="1">
        <v>3431765.66</v>
      </c>
      <c r="CK27" s="1">
        <v>2157554.73</v>
      </c>
      <c r="CL27" s="1">
        <v>3402121.75</v>
      </c>
      <c r="CM27" s="1">
        <v>3587197.98</v>
      </c>
      <c r="CN27" s="1">
        <v>3079722.39</v>
      </c>
      <c r="CO27" s="1">
        <v>2715532.34</v>
      </c>
      <c r="CP27" s="1">
        <v>3705170.25</v>
      </c>
      <c r="CQ27" s="1">
        <v>3236073.78</v>
      </c>
      <c r="CR27" s="1">
        <v>4758357.9800000004</v>
      </c>
      <c r="CS27" s="1">
        <v>4489427.08</v>
      </c>
      <c r="CT27" s="1">
        <v>4631754.34</v>
      </c>
      <c r="CU27" s="1">
        <v>5022182.1100000003</v>
      </c>
      <c r="CV27" s="1">
        <v>3443359.9</v>
      </c>
      <c r="CW27" s="1">
        <v>4388071.54</v>
      </c>
      <c r="CX27" s="1">
        <v>4355667.42</v>
      </c>
      <c r="CY27" s="1">
        <v>3862954.27</v>
      </c>
      <c r="CZ27" s="1">
        <v>2595954.69</v>
      </c>
      <c r="DA27" s="1">
        <v>4562888.71</v>
      </c>
      <c r="DB27" s="1">
        <v>3154842.89</v>
      </c>
      <c r="DC27" s="1">
        <v>0</v>
      </c>
      <c r="DD27" s="1">
        <v>0</v>
      </c>
      <c r="DE27" s="1">
        <v>0</v>
      </c>
      <c r="DF27" s="1">
        <v>0</v>
      </c>
      <c r="DH27" s="6">
        <f t="shared" si="2"/>
        <v>168684349.90000001</v>
      </c>
    </row>
    <row r="28" spans="1:112" x14ac:dyDescent="0.2">
      <c r="A28" s="5" t="str">
        <f>A27</f>
        <v>CO</v>
      </c>
      <c r="B28" s="5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v>1554933.1159249996</v>
      </c>
      <c r="AF28" s="1">
        <v>1218694.2570999996</v>
      </c>
      <c r="AG28" s="1">
        <v>2631328.6006749971</v>
      </c>
      <c r="AH28" s="1">
        <v>5320072.0172750019</v>
      </c>
      <c r="AI28" s="1">
        <v>7041384.7932000086</v>
      </c>
      <c r="AJ28" s="1">
        <v>7232653.3068250194</v>
      </c>
      <c r="AK28" s="1">
        <v>8799131.2046250142</v>
      </c>
      <c r="AL28" s="1">
        <v>10763860.480700035</v>
      </c>
      <c r="AM28" s="1">
        <v>10597217.214850012</v>
      </c>
      <c r="AN28" s="1">
        <v>9603162.4033249728</v>
      </c>
      <c r="AO28" s="1">
        <v>8980626.7845750339</v>
      </c>
      <c r="AP28" s="1">
        <v>6412485.5588500164</v>
      </c>
      <c r="AQ28" s="1">
        <v>8595422.4966250062</v>
      </c>
      <c r="AR28" s="1">
        <v>7452572.0792750064</v>
      </c>
      <c r="AS28" s="1">
        <v>5600157.2027000021</v>
      </c>
      <c r="AT28" s="1">
        <v>7612018.3487250013</v>
      </c>
      <c r="AU28" s="1">
        <v>19821262.747774977</v>
      </c>
      <c r="AV28" s="1">
        <v>17602357.716049984</v>
      </c>
      <c r="AW28" s="1">
        <v>16248225.117624961</v>
      </c>
      <c r="AX28" s="1">
        <v>18325265.005750012</v>
      </c>
      <c r="AY28" s="1">
        <v>21513697.257000048</v>
      </c>
      <c r="AZ28" s="1">
        <v>19621849.427974988</v>
      </c>
      <c r="BA28" s="1">
        <v>13927861.149674974</v>
      </c>
      <c r="BB28" s="1">
        <v>10062314.93647502</v>
      </c>
      <c r="BC28" s="1">
        <v>9644693.0356499944</v>
      </c>
      <c r="BD28" s="1">
        <v>7918167.7286500242</v>
      </c>
      <c r="BE28" s="1">
        <v>5937651.1506749857</v>
      </c>
      <c r="BF28" s="1">
        <v>3175444.1060999855</v>
      </c>
      <c r="BG28" s="1">
        <v>18543243.507574998</v>
      </c>
      <c r="BH28" s="1">
        <v>14118718.967550039</v>
      </c>
      <c r="BI28" s="1">
        <v>11831298.218725007</v>
      </c>
      <c r="BJ28" s="1">
        <v>13769015.529800005</v>
      </c>
      <c r="BK28" s="1">
        <v>11619729.827550042</v>
      </c>
      <c r="BL28" s="1">
        <v>9565125.94842498</v>
      </c>
      <c r="BM28" s="1">
        <v>9283537.3860249892</v>
      </c>
      <c r="BN28" s="1">
        <v>8248311.2024499699</v>
      </c>
      <c r="BO28" s="1">
        <v>8421368.5410249718</v>
      </c>
      <c r="BP28" s="1">
        <v>6472988.9140250124</v>
      </c>
      <c r="BQ28" s="1">
        <v>5183458.7340999991</v>
      </c>
      <c r="BR28" s="1">
        <v>6424501.6332750171</v>
      </c>
      <c r="BS28" s="1">
        <v>11505618.85482499</v>
      </c>
      <c r="BT28" s="1">
        <v>12457670.977125004</v>
      </c>
      <c r="BU28" s="1">
        <v>13103180.633800056</v>
      </c>
      <c r="BV28" s="1">
        <v>13678390.604449987</v>
      </c>
      <c r="BW28" s="1">
        <v>13448973.050599962</v>
      </c>
      <c r="BX28" s="1">
        <v>12757785.916499952</v>
      </c>
      <c r="BY28" s="1">
        <v>11980462.416899964</v>
      </c>
      <c r="BZ28" s="1">
        <v>11475893.989125043</v>
      </c>
      <c r="CA28" s="1">
        <v>10330525.24380004</v>
      </c>
      <c r="CB28" s="1">
        <v>8148592.0740250014</v>
      </c>
      <c r="CC28" s="1">
        <v>6760719.7377999686</v>
      </c>
      <c r="CD28" s="1">
        <v>7789979.9605249949</v>
      </c>
      <c r="CE28" s="1">
        <v>12113516.895624995</v>
      </c>
      <c r="CF28" s="1">
        <v>12721957.343174994</v>
      </c>
      <c r="CG28" s="1">
        <v>13489590.942449965</v>
      </c>
      <c r="CH28" s="1">
        <v>13685236.165750025</v>
      </c>
      <c r="CI28" s="1">
        <v>13835797.04460001</v>
      </c>
      <c r="CJ28" s="1">
        <v>10615246.176874988</v>
      </c>
      <c r="CK28" s="1">
        <v>12801418.393250074</v>
      </c>
      <c r="CL28" s="1">
        <v>11010784.672100008</v>
      </c>
      <c r="CM28" s="1">
        <v>10428971.229149982</v>
      </c>
      <c r="CN28" s="1">
        <v>7806310.5962750092</v>
      </c>
      <c r="CO28" s="1">
        <v>6568340.1875500306</v>
      </c>
      <c r="CP28" s="1">
        <v>7821197.6051750034</v>
      </c>
      <c r="CQ28" s="1">
        <v>11657582.597174983</v>
      </c>
      <c r="CR28" s="1">
        <v>12983950.518624909</v>
      </c>
      <c r="CS28" s="1">
        <v>12938241.381675057</v>
      </c>
      <c r="CT28" s="1">
        <v>11351673.515874989</v>
      </c>
      <c r="CU28" s="1">
        <v>6124194.0824499577</v>
      </c>
      <c r="CV28" s="1">
        <v>4594166.9263499826</v>
      </c>
      <c r="CW28" s="1">
        <v>5483416.5425499901</v>
      </c>
      <c r="CX28" s="1">
        <v>5117655.9147000089</v>
      </c>
      <c r="CY28" s="1">
        <v>4605633.4564000219</v>
      </c>
      <c r="CZ28" s="1">
        <v>4196471.9619250111</v>
      </c>
      <c r="DA28" s="1">
        <v>-22633.421174943447</v>
      </c>
      <c r="DB28" s="1">
        <v>-2855.2255250178277</v>
      </c>
      <c r="DC28" s="1">
        <v>0</v>
      </c>
      <c r="DD28" s="1">
        <v>0</v>
      </c>
      <c r="DE28" s="1">
        <v>0</v>
      </c>
      <c r="DF28" s="1">
        <v>0</v>
      </c>
      <c r="DH28" s="6">
        <f t="shared" si="2"/>
        <v>742059466.61764991</v>
      </c>
    </row>
    <row r="29" spans="1:112" x14ac:dyDescent="0.2">
      <c r="A29" s="5" t="s">
        <v>10</v>
      </c>
      <c r="B29" s="5" t="s">
        <v>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>
        <v>54641474</v>
      </c>
      <c r="AW29" s="1">
        <v>131729322</v>
      </c>
      <c r="AX29" s="1">
        <v>150073755</v>
      </c>
      <c r="AY29" s="1">
        <v>158092481</v>
      </c>
      <c r="AZ29" s="1">
        <v>115619953</v>
      </c>
      <c r="BA29" s="1">
        <v>140747137</v>
      </c>
      <c r="BB29" s="1">
        <v>116465199</v>
      </c>
      <c r="BC29" s="1">
        <v>115180155</v>
      </c>
      <c r="BD29" s="1">
        <v>95421852</v>
      </c>
      <c r="BE29" s="1">
        <v>78316775</v>
      </c>
      <c r="BF29" s="1">
        <v>80037045</v>
      </c>
      <c r="BG29" s="1">
        <v>130547719</v>
      </c>
      <c r="BH29" s="1">
        <v>164170106</v>
      </c>
      <c r="BI29" s="1">
        <v>165026282</v>
      </c>
      <c r="BJ29" s="1">
        <v>160266050</v>
      </c>
      <c r="BK29" s="1">
        <v>167673044</v>
      </c>
      <c r="BL29" s="1">
        <v>136508300</v>
      </c>
      <c r="BM29" s="1">
        <v>159997579</v>
      </c>
      <c r="BN29" s="1">
        <v>126683869</v>
      </c>
      <c r="BO29" s="1">
        <v>109421369</v>
      </c>
      <c r="BP29" s="1">
        <v>91414677</v>
      </c>
      <c r="BQ29" s="1">
        <v>91512897</v>
      </c>
      <c r="BR29" s="1">
        <v>91316807</v>
      </c>
      <c r="BS29" s="1">
        <v>180954956</v>
      </c>
      <c r="BT29" s="1">
        <v>189626160</v>
      </c>
      <c r="BU29" s="1">
        <v>205736989</v>
      </c>
      <c r="BV29" s="1">
        <v>212171045</v>
      </c>
      <c r="BW29" s="1">
        <v>202752249</v>
      </c>
      <c r="BX29" s="1">
        <v>162841632</v>
      </c>
      <c r="BY29" s="1">
        <v>187815980</v>
      </c>
      <c r="BZ29" s="1">
        <v>156782839</v>
      </c>
      <c r="CA29" s="1">
        <v>163664781</v>
      </c>
      <c r="CB29" s="1">
        <v>148557056</v>
      </c>
      <c r="CC29" s="1">
        <v>121808571</v>
      </c>
      <c r="CD29" s="1">
        <v>129150001</v>
      </c>
      <c r="CE29" s="1">
        <v>214394512</v>
      </c>
      <c r="CF29" s="1">
        <v>229151493</v>
      </c>
      <c r="CG29" s="1">
        <v>228155465</v>
      </c>
      <c r="CH29" s="1">
        <v>243670782</v>
      </c>
      <c r="CI29" s="1">
        <v>229341717</v>
      </c>
      <c r="CJ29" s="1">
        <v>169389080</v>
      </c>
      <c r="CK29" s="1">
        <v>207660971</v>
      </c>
      <c r="CL29" s="1">
        <v>181821330</v>
      </c>
      <c r="CM29" s="1">
        <v>183947658</v>
      </c>
      <c r="CN29" s="1">
        <v>140533729</v>
      </c>
      <c r="CO29" s="1">
        <v>123505445</v>
      </c>
      <c r="CP29" s="1">
        <v>148602691</v>
      </c>
      <c r="CQ29" s="1">
        <v>230285859</v>
      </c>
      <c r="CR29" s="1">
        <v>257128686</v>
      </c>
      <c r="CS29" s="1">
        <v>272256331</v>
      </c>
      <c r="CT29" s="1">
        <v>234772986</v>
      </c>
      <c r="CU29" s="1">
        <v>237331710</v>
      </c>
      <c r="CV29" s="1">
        <v>186964942</v>
      </c>
      <c r="CW29" s="1">
        <v>217119542</v>
      </c>
      <c r="CX29" s="1">
        <v>179043468</v>
      </c>
      <c r="CY29" s="1">
        <v>188021266</v>
      </c>
      <c r="CZ29" s="1">
        <v>203998846</v>
      </c>
      <c r="DA29" s="1">
        <v>181336139</v>
      </c>
      <c r="DB29" s="1">
        <v>156480536</v>
      </c>
      <c r="DC29" s="1">
        <v>246295408</v>
      </c>
      <c r="DD29" s="1">
        <v>0</v>
      </c>
      <c r="DE29" s="1">
        <v>0</v>
      </c>
      <c r="DF29" s="1">
        <v>0</v>
      </c>
      <c r="DH29" s="6">
        <f t="shared" si="2"/>
        <v>9983936698</v>
      </c>
    </row>
    <row r="30" spans="1:112" x14ac:dyDescent="0.2">
      <c r="A30" s="5" t="s">
        <v>10</v>
      </c>
      <c r="B30" s="5" t="s">
        <v>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>
        <v>54099628</v>
      </c>
      <c r="AW30" s="1">
        <v>127549251</v>
      </c>
      <c r="AX30" s="1">
        <v>143570419</v>
      </c>
      <c r="AY30" s="1">
        <v>149352612</v>
      </c>
      <c r="AZ30" s="1">
        <v>108770769</v>
      </c>
      <c r="BA30" s="1">
        <v>131944281</v>
      </c>
      <c r="BB30" s="1">
        <v>109440626</v>
      </c>
      <c r="BC30" s="1">
        <v>107746065</v>
      </c>
      <c r="BD30" s="1">
        <v>88861702</v>
      </c>
      <c r="BE30" s="1">
        <v>72939857</v>
      </c>
      <c r="BF30" s="1">
        <v>73022027</v>
      </c>
      <c r="BG30" s="1">
        <v>121586037</v>
      </c>
      <c r="BH30" s="1">
        <v>153313141</v>
      </c>
      <c r="BI30" s="1">
        <v>154453896</v>
      </c>
      <c r="BJ30" s="1">
        <v>149727005</v>
      </c>
      <c r="BK30" s="1">
        <v>156055532</v>
      </c>
      <c r="BL30" s="1">
        <v>128214182</v>
      </c>
      <c r="BM30" s="1">
        <v>150230526</v>
      </c>
      <c r="BN30" s="1">
        <v>118346886</v>
      </c>
      <c r="BO30" s="1">
        <v>101674781</v>
      </c>
      <c r="BP30" s="1">
        <v>84209478</v>
      </c>
      <c r="BQ30" s="1">
        <v>85571981</v>
      </c>
      <c r="BR30" s="1">
        <v>84911576</v>
      </c>
      <c r="BS30" s="1">
        <v>170224396</v>
      </c>
      <c r="BT30" s="1">
        <v>177171034</v>
      </c>
      <c r="BU30" s="1">
        <v>192583090</v>
      </c>
      <c r="BV30" s="1">
        <v>202793217</v>
      </c>
      <c r="BW30" s="1">
        <v>193222451</v>
      </c>
      <c r="BX30" s="1">
        <v>155479769</v>
      </c>
      <c r="BY30" s="1">
        <v>179914802</v>
      </c>
      <c r="BZ30" s="1">
        <v>149387959</v>
      </c>
      <c r="CA30" s="1">
        <v>155567441</v>
      </c>
      <c r="CB30" s="1">
        <v>141837247</v>
      </c>
      <c r="CC30" s="1">
        <v>116377524</v>
      </c>
      <c r="CD30" s="1">
        <v>123240922</v>
      </c>
      <c r="CE30" s="1">
        <v>204873830</v>
      </c>
      <c r="CF30" s="1">
        <v>218320701</v>
      </c>
      <c r="CG30" s="1">
        <v>218005041</v>
      </c>
      <c r="CH30" s="1">
        <v>232883063</v>
      </c>
      <c r="CI30" s="1">
        <v>218919224</v>
      </c>
      <c r="CJ30" s="1">
        <v>162231213</v>
      </c>
      <c r="CK30" s="1">
        <v>199292267</v>
      </c>
      <c r="CL30" s="1">
        <v>174041192</v>
      </c>
      <c r="CM30" s="1">
        <v>175696566</v>
      </c>
      <c r="CN30" s="1">
        <v>134795187</v>
      </c>
      <c r="CO30" s="1">
        <v>117956954</v>
      </c>
      <c r="CP30" s="1">
        <v>141701328</v>
      </c>
      <c r="CQ30" s="1">
        <v>221564549</v>
      </c>
      <c r="CR30" s="1">
        <v>247641103</v>
      </c>
      <c r="CS30" s="1">
        <v>262922384</v>
      </c>
      <c r="CT30" s="1">
        <v>227572278</v>
      </c>
      <c r="CU30" s="1">
        <v>230011073</v>
      </c>
      <c r="CV30" s="1">
        <v>181189543</v>
      </c>
      <c r="CW30" s="1">
        <v>209623108</v>
      </c>
      <c r="CX30" s="1">
        <v>172512752</v>
      </c>
      <c r="CY30" s="1">
        <v>180762275</v>
      </c>
      <c r="CZ30" s="1">
        <v>197064668</v>
      </c>
      <c r="DA30" s="1">
        <v>175654366</v>
      </c>
      <c r="DB30" s="1">
        <v>150783275</v>
      </c>
      <c r="DC30" s="1">
        <v>238267029</v>
      </c>
      <c r="DD30" s="1">
        <v>0</v>
      </c>
      <c r="DE30" s="1">
        <v>0</v>
      </c>
      <c r="DF30" s="1">
        <v>0</v>
      </c>
      <c r="DH30" s="6">
        <f t="shared" si="2"/>
        <v>9507677079</v>
      </c>
    </row>
    <row r="31" spans="1:112" x14ac:dyDescent="0.2">
      <c r="A31" s="5" t="s">
        <v>10</v>
      </c>
      <c r="B31" s="5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>
        <f t="shared" ref="AV31:BN31" si="15">AV29-AV30</f>
        <v>541846</v>
      </c>
      <c r="AW31" s="1">
        <f t="shared" si="15"/>
        <v>4180071</v>
      </c>
      <c r="AX31" s="1">
        <f t="shared" si="15"/>
        <v>6503336</v>
      </c>
      <c r="AY31" s="1">
        <f t="shared" si="15"/>
        <v>8739869</v>
      </c>
      <c r="AZ31" s="1">
        <f t="shared" si="15"/>
        <v>6849184</v>
      </c>
      <c r="BA31" s="1">
        <f t="shared" si="15"/>
        <v>8802856</v>
      </c>
      <c r="BB31" s="1">
        <f t="shared" si="15"/>
        <v>7024573</v>
      </c>
      <c r="BC31" s="1">
        <f t="shared" si="15"/>
        <v>7434090</v>
      </c>
      <c r="BD31" s="1">
        <f t="shared" si="15"/>
        <v>6560150</v>
      </c>
      <c r="BE31" s="1">
        <f t="shared" si="15"/>
        <v>5376918</v>
      </c>
      <c r="BF31" s="1">
        <f t="shared" si="15"/>
        <v>7015018</v>
      </c>
      <c r="BG31" s="1">
        <f t="shared" si="15"/>
        <v>8961682</v>
      </c>
      <c r="BH31" s="1">
        <f t="shared" si="15"/>
        <v>10856965</v>
      </c>
      <c r="BI31" s="1">
        <f t="shared" si="15"/>
        <v>10572386</v>
      </c>
      <c r="BJ31" s="1">
        <f t="shared" si="15"/>
        <v>10539045</v>
      </c>
      <c r="BK31" s="1">
        <f t="shared" si="15"/>
        <v>11617512</v>
      </c>
      <c r="BL31" s="1">
        <f t="shared" si="15"/>
        <v>8294118</v>
      </c>
      <c r="BM31" s="1">
        <f t="shared" si="15"/>
        <v>9767053</v>
      </c>
      <c r="BN31" s="1">
        <f t="shared" si="15"/>
        <v>8336983</v>
      </c>
      <c r="BO31" s="1">
        <f>BO29-BO30</f>
        <v>7746588</v>
      </c>
      <c r="BP31" s="1">
        <f>BP29-BP30</f>
        <v>7205199</v>
      </c>
      <c r="BQ31" s="1">
        <f t="shared" ref="BQ31:DF31" si="16">BQ29-BQ30</f>
        <v>5940916</v>
      </c>
      <c r="BR31" s="1">
        <f t="shared" si="16"/>
        <v>6405231</v>
      </c>
      <c r="BS31" s="1">
        <f t="shared" si="16"/>
        <v>10730560</v>
      </c>
      <c r="BT31" s="1">
        <f t="shared" si="16"/>
        <v>12455126</v>
      </c>
      <c r="BU31" s="1">
        <f t="shared" si="16"/>
        <v>13153899</v>
      </c>
      <c r="BV31" s="1">
        <f t="shared" si="16"/>
        <v>9377828</v>
      </c>
      <c r="BW31" s="1">
        <f t="shared" si="16"/>
        <v>9529798</v>
      </c>
      <c r="BX31" s="1">
        <f t="shared" si="16"/>
        <v>7361863</v>
      </c>
      <c r="BY31" s="1">
        <f t="shared" si="16"/>
        <v>7901178</v>
      </c>
      <c r="BZ31" s="1">
        <f t="shared" si="16"/>
        <v>7394880</v>
      </c>
      <c r="CA31" s="1">
        <f t="shared" si="16"/>
        <v>8097340</v>
      </c>
      <c r="CB31" s="1">
        <f t="shared" si="16"/>
        <v>6719809</v>
      </c>
      <c r="CC31" s="1">
        <f t="shared" si="16"/>
        <v>5431047</v>
      </c>
      <c r="CD31" s="1">
        <f t="shared" si="16"/>
        <v>5909079</v>
      </c>
      <c r="CE31" s="1">
        <f t="shared" si="16"/>
        <v>9520682</v>
      </c>
      <c r="CF31" s="1">
        <f t="shared" si="16"/>
        <v>10830792</v>
      </c>
      <c r="CG31" s="1">
        <f t="shared" si="16"/>
        <v>10150424</v>
      </c>
      <c r="CH31" s="1">
        <f t="shared" si="16"/>
        <v>10787719</v>
      </c>
      <c r="CI31" s="1">
        <f t="shared" si="16"/>
        <v>10422493</v>
      </c>
      <c r="CJ31" s="1">
        <f t="shared" si="16"/>
        <v>7157867</v>
      </c>
      <c r="CK31" s="1">
        <f t="shared" si="16"/>
        <v>8368704</v>
      </c>
      <c r="CL31" s="1">
        <f t="shared" si="16"/>
        <v>7780138</v>
      </c>
      <c r="CM31" s="1">
        <f t="shared" si="16"/>
        <v>8251092</v>
      </c>
      <c r="CN31" s="1">
        <f t="shared" si="16"/>
        <v>5738542</v>
      </c>
      <c r="CO31" s="1">
        <f t="shared" si="16"/>
        <v>5548491</v>
      </c>
      <c r="CP31" s="1">
        <f t="shared" si="16"/>
        <v>6901363</v>
      </c>
      <c r="CQ31" s="1">
        <f t="shared" si="16"/>
        <v>8721310</v>
      </c>
      <c r="CR31" s="1">
        <f t="shared" si="16"/>
        <v>9487583</v>
      </c>
      <c r="CS31" s="1">
        <f t="shared" si="16"/>
        <v>9333947</v>
      </c>
      <c r="CT31" s="1">
        <f t="shared" si="16"/>
        <v>7200708</v>
      </c>
      <c r="CU31" s="1">
        <f t="shared" si="16"/>
        <v>7320637</v>
      </c>
      <c r="CV31" s="1">
        <f t="shared" si="16"/>
        <v>5775399</v>
      </c>
      <c r="CW31" s="1">
        <f t="shared" si="16"/>
        <v>7496434</v>
      </c>
      <c r="CX31" s="1">
        <f t="shared" si="16"/>
        <v>6530716</v>
      </c>
      <c r="CY31" s="1">
        <f t="shared" si="16"/>
        <v>7258991</v>
      </c>
      <c r="CZ31" s="1">
        <f t="shared" si="16"/>
        <v>6934178</v>
      </c>
      <c r="DA31" s="1">
        <f t="shared" si="16"/>
        <v>5681773</v>
      </c>
      <c r="DB31" s="1">
        <f t="shared" si="16"/>
        <v>5697261</v>
      </c>
      <c r="DC31" s="1">
        <f t="shared" si="16"/>
        <v>8028379</v>
      </c>
      <c r="DD31" s="1">
        <f t="shared" si="16"/>
        <v>0</v>
      </c>
      <c r="DE31" s="1">
        <f t="shared" si="16"/>
        <v>0</v>
      </c>
      <c r="DF31" s="1">
        <f t="shared" si="16"/>
        <v>0</v>
      </c>
      <c r="DH31" s="6">
        <f t="shared" si="2"/>
        <v>476259619</v>
      </c>
    </row>
    <row r="32" spans="1:112" x14ac:dyDescent="0.2">
      <c r="A32" s="5" t="s">
        <v>10</v>
      </c>
      <c r="B32" s="5" t="s">
        <v>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>
        <v>4995746</v>
      </c>
      <c r="AW32" s="1">
        <v>16646349</v>
      </c>
      <c r="AX32" s="1">
        <v>9243651</v>
      </c>
      <c r="AY32" s="1">
        <v>11187161</v>
      </c>
      <c r="AZ32" s="1">
        <v>5028911</v>
      </c>
      <c r="BA32" s="1">
        <v>10130862</v>
      </c>
      <c r="BB32" s="1">
        <v>9519499</v>
      </c>
      <c r="BC32" s="1">
        <v>9353194</v>
      </c>
      <c r="BD32" s="1">
        <v>6398056</v>
      </c>
      <c r="BE32" s="1">
        <v>7743424</v>
      </c>
      <c r="BF32" s="1">
        <v>10091279</v>
      </c>
      <c r="BG32" s="1">
        <v>16989683</v>
      </c>
      <c r="BH32" s="1">
        <v>15898881</v>
      </c>
      <c r="BI32" s="1">
        <v>17414783</v>
      </c>
      <c r="BJ32" s="1">
        <v>15767490</v>
      </c>
      <c r="BK32" s="1">
        <v>17562326</v>
      </c>
      <c r="BL32" s="1">
        <v>10866536</v>
      </c>
      <c r="BM32" s="1">
        <v>16509117</v>
      </c>
      <c r="BN32" s="1">
        <v>13146672</v>
      </c>
      <c r="BO32" s="1">
        <v>14926296</v>
      </c>
      <c r="BP32" s="1">
        <v>8879044</v>
      </c>
      <c r="BQ32" s="1">
        <v>10624362</v>
      </c>
      <c r="BR32" s="1">
        <v>9251666</v>
      </c>
      <c r="BS32" s="1">
        <v>18718688</v>
      </c>
      <c r="BT32" s="1">
        <v>19428120</v>
      </c>
      <c r="BU32" s="1">
        <v>12524038</v>
      </c>
      <c r="BV32" s="1">
        <v>22380945</v>
      </c>
      <c r="BW32" s="1">
        <v>24844850</v>
      </c>
      <c r="BX32" s="1">
        <v>13978598</v>
      </c>
      <c r="BY32" s="1">
        <v>16502976</v>
      </c>
      <c r="BZ32" s="1">
        <v>18157198</v>
      </c>
      <c r="CA32" s="1">
        <v>17121303</v>
      </c>
      <c r="CB32" s="1">
        <v>14765759</v>
      </c>
      <c r="CC32" s="1">
        <v>15096808</v>
      </c>
      <c r="CD32" s="1">
        <v>13656127</v>
      </c>
      <c r="CE32" s="1">
        <v>26586420</v>
      </c>
      <c r="CF32" s="1">
        <v>18509467</v>
      </c>
      <c r="CG32" s="1">
        <v>30310967</v>
      </c>
      <c r="CH32" s="1">
        <v>14379588</v>
      </c>
      <c r="CI32" s="1">
        <v>26875680</v>
      </c>
      <c r="CJ32" s="1">
        <v>20418666</v>
      </c>
      <c r="CK32" s="1">
        <v>16449064</v>
      </c>
      <c r="CL32" s="1">
        <v>18523785</v>
      </c>
      <c r="CM32" s="1">
        <v>22396338</v>
      </c>
      <c r="CN32" s="1">
        <v>17863453</v>
      </c>
      <c r="CO32" s="1">
        <v>15863240</v>
      </c>
      <c r="CP32" s="1">
        <v>16836950</v>
      </c>
      <c r="CQ32" s="1">
        <v>20107525</v>
      </c>
      <c r="CR32" s="1">
        <v>26113561</v>
      </c>
      <c r="CS32" s="1">
        <v>33293499</v>
      </c>
      <c r="CT32" s="1">
        <v>31124163</v>
      </c>
      <c r="CU32" s="1">
        <v>25808794</v>
      </c>
      <c r="CV32" s="1">
        <v>18161771</v>
      </c>
      <c r="CW32" s="1">
        <v>21086213</v>
      </c>
      <c r="CX32" s="1">
        <v>20980108</v>
      </c>
      <c r="CY32" s="1">
        <v>18642527</v>
      </c>
      <c r="CZ32" s="1">
        <v>6687281</v>
      </c>
      <c r="DA32" s="1">
        <v>15969909</v>
      </c>
      <c r="DB32" s="1">
        <v>13080180</v>
      </c>
      <c r="DC32" s="1">
        <v>21598764</v>
      </c>
      <c r="DD32" s="1">
        <v>0</v>
      </c>
      <c r="DE32" s="1">
        <v>0</v>
      </c>
      <c r="DF32" s="1">
        <v>0</v>
      </c>
      <c r="DH32" s="6">
        <f t="shared" si="2"/>
        <v>993018311</v>
      </c>
    </row>
    <row r="33" spans="1:112" x14ac:dyDescent="0.2">
      <c r="A33" s="5" t="s">
        <v>10</v>
      </c>
      <c r="B33" s="5" t="s">
        <v>44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>
        <v>4781690</v>
      </c>
      <c r="AW33" s="1">
        <v>15819092</v>
      </c>
      <c r="AX33" s="1">
        <v>8831390</v>
      </c>
      <c r="AY33" s="1">
        <v>10339968</v>
      </c>
      <c r="AZ33" s="1">
        <v>4670746</v>
      </c>
      <c r="BA33" s="1">
        <v>9281259</v>
      </c>
      <c r="BB33" s="1">
        <v>8920915</v>
      </c>
      <c r="BC33" s="1">
        <v>8895516</v>
      </c>
      <c r="BD33" s="1">
        <v>5860467</v>
      </c>
      <c r="BE33" s="1">
        <v>7243791</v>
      </c>
      <c r="BF33" s="1">
        <v>9094644</v>
      </c>
      <c r="BG33" s="1">
        <v>15564308</v>
      </c>
      <c r="BH33" s="1">
        <v>14726153</v>
      </c>
      <c r="BI33" s="1">
        <v>16470556</v>
      </c>
      <c r="BJ33" s="1">
        <v>14746263</v>
      </c>
      <c r="BK33" s="1">
        <v>16368917</v>
      </c>
      <c r="BL33" s="1">
        <v>10235393</v>
      </c>
      <c r="BM33" s="1">
        <v>15480137</v>
      </c>
      <c r="BN33" s="1">
        <v>12114499</v>
      </c>
      <c r="BO33" s="1">
        <v>13722772</v>
      </c>
      <c r="BP33" s="1">
        <v>8527475</v>
      </c>
      <c r="BQ33" s="1">
        <v>9729702</v>
      </c>
      <c r="BR33" s="1">
        <v>8361299</v>
      </c>
      <c r="BS33" s="1">
        <v>17326300</v>
      </c>
      <c r="BT33" s="1">
        <v>18134168</v>
      </c>
      <c r="BU33" s="1">
        <v>11948973</v>
      </c>
      <c r="BV33" s="1">
        <v>21647354</v>
      </c>
      <c r="BW33" s="1">
        <v>23911687</v>
      </c>
      <c r="BX33" s="1">
        <v>13395101</v>
      </c>
      <c r="BY33" s="1">
        <v>15632542</v>
      </c>
      <c r="BZ33" s="1">
        <v>17404752</v>
      </c>
      <c r="CA33" s="1">
        <v>16159009</v>
      </c>
      <c r="CB33" s="1">
        <v>14160594</v>
      </c>
      <c r="CC33" s="1">
        <v>14568587</v>
      </c>
      <c r="CD33" s="1">
        <v>12765595</v>
      </c>
      <c r="CE33" s="1">
        <v>25360982</v>
      </c>
      <c r="CF33" s="1">
        <v>17760398</v>
      </c>
      <c r="CG33" s="1">
        <v>28766179</v>
      </c>
      <c r="CH33" s="1">
        <v>14014956</v>
      </c>
      <c r="CI33" s="1">
        <v>25928627</v>
      </c>
      <c r="CJ33" s="1">
        <v>20019148</v>
      </c>
      <c r="CK33" s="1">
        <v>15957149</v>
      </c>
      <c r="CL33" s="1">
        <v>17602767</v>
      </c>
      <c r="CM33" s="1">
        <v>21621142</v>
      </c>
      <c r="CN33" s="1">
        <v>17110940</v>
      </c>
      <c r="CO33" s="1">
        <v>15219285</v>
      </c>
      <c r="CP33" s="1">
        <v>15918638</v>
      </c>
      <c r="CQ33" s="1">
        <v>19057663</v>
      </c>
      <c r="CR33" s="1">
        <v>25349393</v>
      </c>
      <c r="CS33" s="1">
        <v>31950912</v>
      </c>
      <c r="CT33" s="1">
        <v>29985481</v>
      </c>
      <c r="CU33" s="1">
        <v>24782162</v>
      </c>
      <c r="CV33" s="1">
        <v>17747660</v>
      </c>
      <c r="CW33" s="1">
        <v>20121058</v>
      </c>
      <c r="CX33" s="1">
        <v>20218716</v>
      </c>
      <c r="CY33" s="1">
        <v>17904918</v>
      </c>
      <c r="CZ33" s="1">
        <v>5962417</v>
      </c>
      <c r="DA33" s="1">
        <v>15323152</v>
      </c>
      <c r="DB33" s="1">
        <v>12412174</v>
      </c>
      <c r="DC33" s="1">
        <v>20622985</v>
      </c>
      <c r="DD33" s="1">
        <v>0</v>
      </c>
      <c r="DE33" s="1">
        <v>0</v>
      </c>
      <c r="DF33" s="1">
        <v>0</v>
      </c>
      <c r="DH33" s="6">
        <f t="shared" si="2"/>
        <v>943560516</v>
      </c>
    </row>
    <row r="34" spans="1:112" x14ac:dyDescent="0.2">
      <c r="A34" s="5" t="s">
        <v>10</v>
      </c>
      <c r="B34" s="5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>
        <f t="shared" ref="AV34:BN34" si="17">AV32-AV33</f>
        <v>214056</v>
      </c>
      <c r="AW34" s="1">
        <f t="shared" si="17"/>
        <v>827257</v>
      </c>
      <c r="AX34" s="1">
        <f t="shared" si="17"/>
        <v>412261</v>
      </c>
      <c r="AY34" s="1">
        <f t="shared" si="17"/>
        <v>847193</v>
      </c>
      <c r="AZ34" s="1">
        <f t="shared" si="17"/>
        <v>358165</v>
      </c>
      <c r="BA34" s="1">
        <f t="shared" si="17"/>
        <v>849603</v>
      </c>
      <c r="BB34" s="1">
        <f t="shared" si="17"/>
        <v>598584</v>
      </c>
      <c r="BC34" s="1">
        <f t="shared" si="17"/>
        <v>457678</v>
      </c>
      <c r="BD34" s="1">
        <f t="shared" si="17"/>
        <v>537589</v>
      </c>
      <c r="BE34" s="1">
        <f t="shared" si="17"/>
        <v>499633</v>
      </c>
      <c r="BF34" s="1">
        <f t="shared" si="17"/>
        <v>996635</v>
      </c>
      <c r="BG34" s="1">
        <f t="shared" si="17"/>
        <v>1425375</v>
      </c>
      <c r="BH34" s="1">
        <f t="shared" si="17"/>
        <v>1172728</v>
      </c>
      <c r="BI34" s="1">
        <f t="shared" si="17"/>
        <v>944227</v>
      </c>
      <c r="BJ34" s="1">
        <f t="shared" si="17"/>
        <v>1021227</v>
      </c>
      <c r="BK34" s="1">
        <f t="shared" si="17"/>
        <v>1193409</v>
      </c>
      <c r="BL34" s="1">
        <f t="shared" si="17"/>
        <v>631143</v>
      </c>
      <c r="BM34" s="1">
        <f t="shared" si="17"/>
        <v>1028980</v>
      </c>
      <c r="BN34" s="1">
        <f t="shared" si="17"/>
        <v>1032173</v>
      </c>
      <c r="BO34" s="1">
        <f>BO32-BO33</f>
        <v>1203524</v>
      </c>
      <c r="BP34" s="1">
        <f>BP32-BP33</f>
        <v>351569</v>
      </c>
      <c r="BQ34" s="1">
        <f t="shared" ref="BQ34:DF34" si="18">BQ32-BQ33</f>
        <v>894660</v>
      </c>
      <c r="BR34" s="1">
        <f t="shared" si="18"/>
        <v>890367</v>
      </c>
      <c r="BS34" s="1">
        <f t="shared" si="18"/>
        <v>1392388</v>
      </c>
      <c r="BT34" s="1">
        <f t="shared" si="18"/>
        <v>1293952</v>
      </c>
      <c r="BU34" s="1">
        <f t="shared" si="18"/>
        <v>575065</v>
      </c>
      <c r="BV34" s="1">
        <f t="shared" si="18"/>
        <v>733591</v>
      </c>
      <c r="BW34" s="1">
        <f t="shared" si="18"/>
        <v>933163</v>
      </c>
      <c r="BX34" s="1">
        <f t="shared" si="18"/>
        <v>583497</v>
      </c>
      <c r="BY34" s="1">
        <f t="shared" si="18"/>
        <v>870434</v>
      </c>
      <c r="BZ34" s="1">
        <f t="shared" si="18"/>
        <v>752446</v>
      </c>
      <c r="CA34" s="1">
        <f t="shared" si="18"/>
        <v>962294</v>
      </c>
      <c r="CB34" s="1">
        <f t="shared" si="18"/>
        <v>605165</v>
      </c>
      <c r="CC34" s="1">
        <f t="shared" si="18"/>
        <v>528221</v>
      </c>
      <c r="CD34" s="1">
        <f t="shared" si="18"/>
        <v>890532</v>
      </c>
      <c r="CE34" s="1">
        <f t="shared" si="18"/>
        <v>1225438</v>
      </c>
      <c r="CF34" s="1">
        <f t="shared" si="18"/>
        <v>749069</v>
      </c>
      <c r="CG34" s="1">
        <f t="shared" si="18"/>
        <v>1544788</v>
      </c>
      <c r="CH34" s="1">
        <f t="shared" si="18"/>
        <v>364632</v>
      </c>
      <c r="CI34" s="1">
        <f t="shared" si="18"/>
        <v>947053</v>
      </c>
      <c r="CJ34" s="1">
        <f t="shared" si="18"/>
        <v>399518</v>
      </c>
      <c r="CK34" s="1">
        <f t="shared" si="18"/>
        <v>491915</v>
      </c>
      <c r="CL34" s="1">
        <f t="shared" si="18"/>
        <v>921018</v>
      </c>
      <c r="CM34" s="1">
        <f t="shared" si="18"/>
        <v>775196</v>
      </c>
      <c r="CN34" s="1">
        <f t="shared" si="18"/>
        <v>752513</v>
      </c>
      <c r="CO34" s="1">
        <f t="shared" si="18"/>
        <v>643955</v>
      </c>
      <c r="CP34" s="1">
        <f t="shared" si="18"/>
        <v>918312</v>
      </c>
      <c r="CQ34" s="1">
        <f t="shared" si="18"/>
        <v>1049862</v>
      </c>
      <c r="CR34" s="1">
        <f t="shared" si="18"/>
        <v>764168</v>
      </c>
      <c r="CS34" s="1">
        <f t="shared" si="18"/>
        <v>1342587</v>
      </c>
      <c r="CT34" s="1">
        <f t="shared" si="18"/>
        <v>1138682</v>
      </c>
      <c r="CU34" s="1">
        <f t="shared" si="18"/>
        <v>1026632</v>
      </c>
      <c r="CV34" s="1">
        <f t="shared" si="18"/>
        <v>414111</v>
      </c>
      <c r="CW34" s="1">
        <f t="shared" si="18"/>
        <v>965155</v>
      </c>
      <c r="CX34" s="1">
        <f t="shared" si="18"/>
        <v>761392</v>
      </c>
      <c r="CY34" s="1">
        <f t="shared" si="18"/>
        <v>737609</v>
      </c>
      <c r="CZ34" s="1">
        <f t="shared" si="18"/>
        <v>724864</v>
      </c>
      <c r="DA34" s="1">
        <f t="shared" si="18"/>
        <v>646757</v>
      </c>
      <c r="DB34" s="1">
        <f t="shared" si="18"/>
        <v>668006</v>
      </c>
      <c r="DC34" s="1">
        <f t="shared" si="18"/>
        <v>975779</v>
      </c>
      <c r="DD34" s="1">
        <f t="shared" si="18"/>
        <v>0</v>
      </c>
      <c r="DE34" s="1">
        <f t="shared" si="18"/>
        <v>0</v>
      </c>
      <c r="DF34" s="1">
        <f t="shared" si="18"/>
        <v>0</v>
      </c>
      <c r="DH34" s="6">
        <f t="shared" si="2"/>
        <v>49457795</v>
      </c>
    </row>
    <row r="35" spans="1:112" x14ac:dyDescent="0.2">
      <c r="A35" s="5" t="s">
        <v>10</v>
      </c>
      <c r="B35" s="5" t="s">
        <v>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>
        <v>3706802</v>
      </c>
      <c r="AW35" s="1">
        <v>12452005</v>
      </c>
      <c r="AX35" s="1">
        <v>6758813</v>
      </c>
      <c r="AY35" s="1">
        <v>8309167</v>
      </c>
      <c r="AZ35" s="1">
        <v>3647385</v>
      </c>
      <c r="BA35" s="1">
        <v>7545968</v>
      </c>
      <c r="BB35" s="1">
        <v>7187371</v>
      </c>
      <c r="BC35" s="1">
        <v>7136759</v>
      </c>
      <c r="BD35" s="1">
        <v>4868745</v>
      </c>
      <c r="BE35" s="1">
        <v>6247958</v>
      </c>
      <c r="BF35" s="1">
        <v>8386361</v>
      </c>
      <c r="BG35" s="1">
        <v>12926482</v>
      </c>
      <c r="BH35" s="1">
        <v>12628898</v>
      </c>
      <c r="BI35" s="1">
        <v>14126456</v>
      </c>
      <c r="BJ35" s="1">
        <v>12625502</v>
      </c>
      <c r="BK35" s="1">
        <v>13958469</v>
      </c>
      <c r="BL35" s="1">
        <v>8550500</v>
      </c>
      <c r="BM35" s="1">
        <v>13496875</v>
      </c>
      <c r="BN35" s="1">
        <v>10608950</v>
      </c>
      <c r="BO35" s="1">
        <v>11966493</v>
      </c>
      <c r="BP35" s="1">
        <v>6993294</v>
      </c>
      <c r="BQ35" s="1">
        <v>8838637</v>
      </c>
      <c r="BR35" s="1">
        <v>7470337</v>
      </c>
      <c r="BS35" s="1">
        <v>14899705</v>
      </c>
      <c r="BT35" s="1">
        <v>16313760</v>
      </c>
      <c r="BU35" s="1">
        <v>10299870</v>
      </c>
      <c r="BV35" s="1">
        <v>18689499</v>
      </c>
      <c r="BW35" s="1">
        <v>20833171</v>
      </c>
      <c r="BX35" s="1">
        <v>11626743</v>
      </c>
      <c r="BY35" s="1">
        <v>13765098</v>
      </c>
      <c r="BZ35" s="1">
        <v>15219596</v>
      </c>
      <c r="CA35" s="1">
        <v>14355970</v>
      </c>
      <c r="CB35" s="1">
        <v>12332232</v>
      </c>
      <c r="CC35" s="1">
        <v>12716075</v>
      </c>
      <c r="CD35" s="1">
        <v>11473158</v>
      </c>
      <c r="CE35" s="1">
        <v>22345775</v>
      </c>
      <c r="CF35" s="1">
        <v>15370447</v>
      </c>
      <c r="CG35" s="1">
        <v>25521122</v>
      </c>
      <c r="CH35" s="1">
        <v>11768892</v>
      </c>
      <c r="CI35" s="1">
        <v>22514602</v>
      </c>
      <c r="CJ35" s="1">
        <v>17067157</v>
      </c>
      <c r="CK35" s="1">
        <v>13624307</v>
      </c>
      <c r="CL35" s="1">
        <v>15506374</v>
      </c>
      <c r="CM35" s="1">
        <v>18770501</v>
      </c>
      <c r="CN35" s="1">
        <v>15005723</v>
      </c>
      <c r="CO35" s="1">
        <v>13323761</v>
      </c>
      <c r="CP35" s="1">
        <v>14142294</v>
      </c>
      <c r="CQ35" s="1">
        <v>16777800</v>
      </c>
      <c r="CR35" s="1">
        <v>21792748</v>
      </c>
      <c r="CS35" s="1">
        <v>28666229</v>
      </c>
      <c r="CT35" s="1">
        <v>26834508</v>
      </c>
      <c r="CU35" s="1">
        <v>21598656</v>
      </c>
      <c r="CV35" s="1">
        <v>15110591.380000001</v>
      </c>
      <c r="CW35" s="1">
        <v>17615726</v>
      </c>
      <c r="CX35" s="1">
        <v>17575198</v>
      </c>
      <c r="CY35" s="1">
        <v>15565765</v>
      </c>
      <c r="CZ35" s="1">
        <v>4641809</v>
      </c>
      <c r="DA35" s="1">
        <v>13294841</v>
      </c>
      <c r="DB35" s="1">
        <v>10892778</v>
      </c>
      <c r="DC35" s="1">
        <v>17998802</v>
      </c>
      <c r="DD35" s="1">
        <v>0</v>
      </c>
      <c r="DE35" s="1">
        <v>0</v>
      </c>
      <c r="DF35" s="1">
        <v>0</v>
      </c>
      <c r="DH35" s="6">
        <f t="shared" si="2"/>
        <v>816289510.38</v>
      </c>
    </row>
    <row r="36" spans="1:112" x14ac:dyDescent="0.2">
      <c r="A36" s="5" t="s">
        <v>10</v>
      </c>
      <c r="B36" s="5" t="s">
        <v>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>
        <v>693826</v>
      </c>
      <c r="AW36" s="1">
        <v>2303894</v>
      </c>
      <c r="AX36" s="1">
        <v>1342080</v>
      </c>
      <c r="AY36" s="1">
        <v>1686694.5</v>
      </c>
      <c r="AZ36" s="1">
        <v>781968</v>
      </c>
      <c r="BA36" s="1">
        <v>1703971</v>
      </c>
      <c r="BB36" s="1">
        <v>1406421</v>
      </c>
      <c r="BC36" s="1">
        <v>1415900.5</v>
      </c>
      <c r="BD36" s="1">
        <v>1030601.5</v>
      </c>
      <c r="BE36" s="1">
        <v>1364820.5</v>
      </c>
      <c r="BF36" s="1">
        <v>1879644.5</v>
      </c>
      <c r="BG36" s="1">
        <v>2773585</v>
      </c>
      <c r="BH36" s="1">
        <v>2590358.5</v>
      </c>
      <c r="BI36" s="1">
        <v>2770747</v>
      </c>
      <c r="BJ36" s="1">
        <v>2534947</v>
      </c>
      <c r="BK36" s="1">
        <v>2709539.5</v>
      </c>
      <c r="BL36" s="1">
        <v>1656395.5</v>
      </c>
      <c r="BM36" s="1">
        <v>2708816.5</v>
      </c>
      <c r="BN36" s="1">
        <v>2185854.5</v>
      </c>
      <c r="BO36" s="1">
        <v>2454855.5</v>
      </c>
      <c r="BP36" s="1">
        <v>1370925.5</v>
      </c>
      <c r="BQ36" s="1">
        <v>1878213</v>
      </c>
      <c r="BR36" s="1">
        <v>1720260.5</v>
      </c>
      <c r="BS36" s="1">
        <v>2914908.5</v>
      </c>
      <c r="BT36" s="1">
        <v>3255615</v>
      </c>
      <c r="BU36" s="1">
        <v>1919377.5</v>
      </c>
      <c r="BV36" s="1">
        <v>3101116</v>
      </c>
      <c r="BW36" s="1">
        <v>3624653.5</v>
      </c>
      <c r="BX36" s="1">
        <v>2204470.5</v>
      </c>
      <c r="BY36" s="1">
        <v>2547269.5</v>
      </c>
      <c r="BZ36" s="1">
        <v>2856675.5</v>
      </c>
      <c r="CA36" s="1">
        <v>2759571.5</v>
      </c>
      <c r="CB36" s="1">
        <v>2378443.5</v>
      </c>
      <c r="CC36" s="1">
        <v>2529240</v>
      </c>
      <c r="CD36" s="1">
        <v>2574023.5</v>
      </c>
      <c r="CE36" s="1">
        <v>4759485.5</v>
      </c>
      <c r="CF36" s="1">
        <v>3416791.5</v>
      </c>
      <c r="CG36" s="1">
        <v>5525778</v>
      </c>
      <c r="CH36" s="1">
        <v>2570670.5</v>
      </c>
      <c r="CI36" s="1">
        <v>4410386</v>
      </c>
      <c r="CJ36" s="1">
        <v>3591619.5</v>
      </c>
      <c r="CK36" s="1">
        <v>3111255</v>
      </c>
      <c r="CL36" s="1">
        <v>3433677</v>
      </c>
      <c r="CM36" s="1">
        <v>4277732</v>
      </c>
      <c r="CN36" s="1">
        <v>3838064</v>
      </c>
      <c r="CO36" s="1">
        <v>3075626.5</v>
      </c>
      <c r="CP36" s="1">
        <v>3387118.5</v>
      </c>
      <c r="CQ36" s="1">
        <v>3802228.5</v>
      </c>
      <c r="CR36" s="1">
        <v>5111311.5</v>
      </c>
      <c r="CS36" s="1">
        <v>6449946</v>
      </c>
      <c r="CT36" s="1">
        <v>5745451</v>
      </c>
      <c r="CU36" s="1">
        <v>4671408</v>
      </c>
      <c r="CV36" s="1">
        <v>3467218.6900000004</v>
      </c>
      <c r="CW36" s="1">
        <v>4401057</v>
      </c>
      <c r="CX36" s="1">
        <v>4139526.5</v>
      </c>
      <c r="CY36" s="1">
        <v>3794315</v>
      </c>
      <c r="CZ36" s="1">
        <v>3233897</v>
      </c>
      <c r="DA36" s="1">
        <v>3433658</v>
      </c>
      <c r="DB36" s="1">
        <v>2709624</v>
      </c>
      <c r="DC36" s="1">
        <v>4058538</v>
      </c>
      <c r="DD36" s="1">
        <v>0</v>
      </c>
      <c r="DE36" s="1">
        <v>0</v>
      </c>
      <c r="DF36" s="1">
        <v>0</v>
      </c>
      <c r="DH36" s="6">
        <f t="shared" si="2"/>
        <v>176046067.19</v>
      </c>
    </row>
    <row r="37" spans="1:112" x14ac:dyDescent="0.2">
      <c r="A37" s="5" t="str">
        <f>A36</f>
        <v>CT</v>
      </c>
      <c r="B37" s="5" t="s">
        <v>41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>
        <v>4922814</v>
      </c>
      <c r="AW37" s="1">
        <v>5176214</v>
      </c>
      <c r="AX37" s="1">
        <v>3862186</v>
      </c>
      <c r="AY37" s="1">
        <v>4297601</v>
      </c>
      <c r="AZ37" s="1">
        <v>3754133</v>
      </c>
      <c r="BA37" s="1">
        <v>2369139</v>
      </c>
      <c r="BB37" s="1">
        <v>2150875</v>
      </c>
      <c r="BC37" s="1">
        <v>1979475</v>
      </c>
      <c r="BD37" s="1">
        <v>1852120</v>
      </c>
      <c r="BE37" s="1">
        <v>1304777</v>
      </c>
      <c r="BF37" s="1">
        <v>1509904</v>
      </c>
      <c r="BG37" s="1">
        <v>4668641</v>
      </c>
      <c r="BH37" s="1">
        <v>3394706</v>
      </c>
      <c r="BI37" s="1">
        <v>2901855</v>
      </c>
      <c r="BJ37" s="1">
        <v>3088874</v>
      </c>
      <c r="BK37" s="1">
        <v>3851671</v>
      </c>
      <c r="BL37" s="1">
        <v>3872944</v>
      </c>
      <c r="BM37" s="1">
        <v>3309338</v>
      </c>
      <c r="BN37" s="1">
        <v>2725289</v>
      </c>
      <c r="BO37" s="1">
        <v>3431841</v>
      </c>
      <c r="BP37" s="1">
        <v>2362104</v>
      </c>
      <c r="BQ37" s="1">
        <v>1647836</v>
      </c>
      <c r="BR37" s="1">
        <v>1871224</v>
      </c>
      <c r="BS37" s="1">
        <v>6220639</v>
      </c>
      <c r="BT37" s="1">
        <v>5523478</v>
      </c>
      <c r="BU37" s="1">
        <v>4422502</v>
      </c>
      <c r="BV37" s="1">
        <v>7160069</v>
      </c>
      <c r="BW37" s="1">
        <v>6639382</v>
      </c>
      <c r="BX37" s="1">
        <v>5151668</v>
      </c>
      <c r="BY37" s="1">
        <v>4020391</v>
      </c>
      <c r="BZ37" s="1">
        <v>3544812</v>
      </c>
      <c r="CA37" s="1">
        <v>3333513</v>
      </c>
      <c r="CB37" s="1">
        <v>3432426</v>
      </c>
      <c r="CC37" s="1">
        <v>3161153</v>
      </c>
      <c r="CD37" s="1">
        <v>3512212</v>
      </c>
      <c r="CE37" s="1">
        <v>8162404</v>
      </c>
      <c r="CF37" s="1">
        <v>6861575</v>
      </c>
      <c r="CG37" s="1">
        <v>5773163</v>
      </c>
      <c r="CH37" s="1">
        <v>5543491</v>
      </c>
      <c r="CI37" s="1">
        <v>8040834</v>
      </c>
      <c r="CJ37" s="1">
        <v>7701855</v>
      </c>
      <c r="CK37" s="1">
        <v>5564538</v>
      </c>
      <c r="CL37" s="1">
        <v>4888029</v>
      </c>
      <c r="CM37" s="1">
        <v>4419708</v>
      </c>
      <c r="CN37" s="1">
        <v>3773386</v>
      </c>
      <c r="CO37" s="1">
        <v>3066651</v>
      </c>
      <c r="CP37" s="1">
        <v>4513506</v>
      </c>
      <c r="CQ37" s="1">
        <v>9019227</v>
      </c>
      <c r="CR37" s="1">
        <v>6996742</v>
      </c>
      <c r="CS37" s="1">
        <v>6457975</v>
      </c>
      <c r="CT37" s="1">
        <v>4446451</v>
      </c>
      <c r="CU37" s="1">
        <v>5819057</v>
      </c>
      <c r="CV37" s="1">
        <v>4307731</v>
      </c>
      <c r="CW37" s="1">
        <v>4812560</v>
      </c>
      <c r="CX37" s="1">
        <v>4297397</v>
      </c>
      <c r="CY37" s="1">
        <v>4464813</v>
      </c>
      <c r="CZ37" s="1">
        <v>5146462</v>
      </c>
      <c r="DA37" s="1">
        <v>4169537</v>
      </c>
      <c r="DB37" s="1">
        <v>3668418</v>
      </c>
      <c r="DC37" s="1">
        <v>8176563</v>
      </c>
      <c r="DD37" s="1">
        <v>0</v>
      </c>
      <c r="DE37" s="1">
        <v>0</v>
      </c>
      <c r="DF37" s="1">
        <v>0</v>
      </c>
      <c r="DH37" s="6">
        <f t="shared" si="2"/>
        <v>266519879</v>
      </c>
    </row>
    <row r="38" spans="1:112" x14ac:dyDescent="0.2">
      <c r="A38" s="5" t="s">
        <v>11</v>
      </c>
      <c r="B38" s="5" t="s">
        <v>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>
        <v>9722.7900000000009</v>
      </c>
      <c r="AF38" s="1">
        <v>223730.09</v>
      </c>
      <c r="AG38" s="1">
        <v>743329.63</v>
      </c>
      <c r="AH38" s="1">
        <v>11262441.98</v>
      </c>
      <c r="AI38" s="1">
        <v>15455159.609999999</v>
      </c>
      <c r="AJ38" s="1">
        <v>18491983.699999999</v>
      </c>
      <c r="AK38" s="1">
        <v>17600534</v>
      </c>
      <c r="AL38" s="1">
        <v>16696994.740000002</v>
      </c>
      <c r="AM38" s="1">
        <v>15746167.870000001</v>
      </c>
      <c r="AN38" s="1">
        <v>15303079.780000001</v>
      </c>
      <c r="AO38" s="1">
        <v>15275214.829999998</v>
      </c>
      <c r="AP38" s="1">
        <v>10746936.77</v>
      </c>
      <c r="AQ38" s="1">
        <v>13772410.699999999</v>
      </c>
      <c r="AR38" s="1">
        <v>19518407.719999999</v>
      </c>
      <c r="AS38" s="1">
        <v>12808239.460000001</v>
      </c>
      <c r="AT38" s="1">
        <v>12445312.300000001</v>
      </c>
      <c r="AU38" s="1">
        <v>20706482.68</v>
      </c>
      <c r="AV38" s="1">
        <v>26332227.870000001</v>
      </c>
      <c r="AW38" s="1">
        <v>21419453.969999999</v>
      </c>
      <c r="AX38" s="1">
        <v>19220227.09</v>
      </c>
      <c r="AY38" s="1">
        <v>18627788.920000002</v>
      </c>
      <c r="AZ38" s="1">
        <v>19072855.629999999</v>
      </c>
      <c r="BA38" s="1">
        <v>20432718.240000002</v>
      </c>
      <c r="BB38" s="1">
        <v>18379903.5</v>
      </c>
      <c r="BC38" s="1">
        <v>17234139.690000001</v>
      </c>
      <c r="BD38" s="1">
        <v>13760754.1</v>
      </c>
      <c r="BE38" s="1">
        <v>11346178.039999999</v>
      </c>
      <c r="BF38" s="1">
        <v>13147645.48</v>
      </c>
      <c r="BG38" s="1">
        <v>19361047.440000001</v>
      </c>
      <c r="BH38" s="1">
        <v>24801500.07</v>
      </c>
      <c r="BI38" s="1">
        <v>21401681.579999998</v>
      </c>
      <c r="BJ38" s="1">
        <v>18665911.220000003</v>
      </c>
      <c r="BK38" s="1">
        <v>20115254.18</v>
      </c>
      <c r="BL38" s="1">
        <v>14634828.469999999</v>
      </c>
      <c r="BM38" s="1">
        <v>18091767.550000001</v>
      </c>
      <c r="BN38" s="1">
        <v>14052054.119999999</v>
      </c>
      <c r="BO38" s="1">
        <v>12532898.59</v>
      </c>
      <c r="BP38" s="1">
        <v>11150332.67</v>
      </c>
      <c r="BQ38" s="1">
        <v>7722843.3899999987</v>
      </c>
      <c r="BR38" s="1">
        <v>8111021.3499999996</v>
      </c>
      <c r="BS38" s="1">
        <v>14480473.349999998</v>
      </c>
      <c r="BT38" s="1">
        <v>16435888.829999998</v>
      </c>
      <c r="BU38" s="1">
        <v>17128830.880000003</v>
      </c>
      <c r="BV38" s="1">
        <v>15315496.890000001</v>
      </c>
      <c r="BW38" s="1">
        <v>15957166.52</v>
      </c>
      <c r="BX38" s="1">
        <v>11977393.530000001</v>
      </c>
      <c r="BY38" s="1">
        <v>15742055.449999999</v>
      </c>
      <c r="BZ38" s="1">
        <v>26649703.309999995</v>
      </c>
      <c r="CA38" s="1">
        <v>35444780.079999998</v>
      </c>
      <c r="CB38" s="1">
        <v>29627133.329999998</v>
      </c>
      <c r="CC38" s="1">
        <v>27347851.940000001</v>
      </c>
      <c r="CD38" s="1">
        <v>40583711.480000004</v>
      </c>
      <c r="CE38" s="1">
        <v>58817348.089999996</v>
      </c>
      <c r="CF38" s="1">
        <v>65834188.530000001</v>
      </c>
      <c r="CG38" s="1">
        <v>68272811.38000001</v>
      </c>
      <c r="CH38" s="1">
        <v>65333158.460000001</v>
      </c>
      <c r="CI38" s="1">
        <v>73096228.270000011</v>
      </c>
      <c r="CJ38" s="1">
        <v>59507037.020000003</v>
      </c>
      <c r="CK38" s="1">
        <v>86014452.310000002</v>
      </c>
      <c r="CL38" s="1">
        <v>71545569.060000002</v>
      </c>
      <c r="CM38" s="1">
        <v>74470049.580000013</v>
      </c>
      <c r="CN38" s="1">
        <v>50731952.479999997</v>
      </c>
      <c r="CO38" s="1">
        <v>55927317.540000007</v>
      </c>
      <c r="CP38" s="1">
        <v>54116566.099999994</v>
      </c>
      <c r="CQ38" s="1">
        <v>77029900.330000013</v>
      </c>
      <c r="CR38" s="1">
        <v>94893796.88000001</v>
      </c>
      <c r="CS38" s="1">
        <v>89010211.560000002</v>
      </c>
      <c r="CT38" s="1">
        <v>69253695.579999998</v>
      </c>
      <c r="CU38" s="1">
        <v>76147822.329999983</v>
      </c>
      <c r="CV38" s="1">
        <v>67588065.670000002</v>
      </c>
      <c r="CW38" s="1">
        <v>75503118.879999995</v>
      </c>
      <c r="CX38" s="1">
        <v>74020823.50999999</v>
      </c>
      <c r="CY38" s="1">
        <v>67182047.590000004</v>
      </c>
      <c r="CZ38" s="1">
        <v>69614580.560000002</v>
      </c>
      <c r="DA38" s="1">
        <v>64169128.719999999</v>
      </c>
      <c r="DB38" s="1">
        <v>53824721.059999995</v>
      </c>
      <c r="DC38" s="1">
        <v>80238219.519999996</v>
      </c>
      <c r="DD38" s="1">
        <v>0</v>
      </c>
      <c r="DE38" s="1">
        <v>0</v>
      </c>
      <c r="DF38" s="1">
        <v>0</v>
      </c>
      <c r="DH38" s="6">
        <f t="shared" si="2"/>
        <v>2615254478.4099998</v>
      </c>
    </row>
    <row r="39" spans="1:112" x14ac:dyDescent="0.2">
      <c r="A39" s="5" t="s">
        <v>11</v>
      </c>
      <c r="B39" s="5" t="s">
        <v>42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8750.5110000000004</v>
      </c>
      <c r="AF39" s="1">
        <v>201357.08100000001</v>
      </c>
      <c r="AG39" s="1">
        <v>667349.66700000002</v>
      </c>
      <c r="AH39" s="1">
        <v>1918829.142</v>
      </c>
      <c r="AI39" s="1">
        <v>2942206.2</v>
      </c>
      <c r="AJ39" s="1">
        <v>3720043.7550000004</v>
      </c>
      <c r="AK39" s="1">
        <v>3506514.6690000002</v>
      </c>
      <c r="AL39" s="1">
        <v>3850842.6990000005</v>
      </c>
      <c r="AM39" s="1">
        <v>4661702.7660000008</v>
      </c>
      <c r="AN39" s="1">
        <v>3742617.5010000002</v>
      </c>
      <c r="AO39" s="1">
        <v>3459922.8480000002</v>
      </c>
      <c r="AP39" s="1">
        <v>2467720.818</v>
      </c>
      <c r="AQ39" s="1">
        <v>2788001.7930000001</v>
      </c>
      <c r="AR39" s="1">
        <v>3096838.08</v>
      </c>
      <c r="AS39" s="1">
        <v>1936820.6190000002</v>
      </c>
      <c r="AT39" s="1">
        <v>1456690.662</v>
      </c>
      <c r="AU39" s="1">
        <v>3313709.1180000002</v>
      </c>
      <c r="AV39" s="1">
        <v>4992437.5020000003</v>
      </c>
      <c r="AW39" s="1">
        <v>4720462.74</v>
      </c>
      <c r="AX39" s="1">
        <v>4470514.9560000002</v>
      </c>
      <c r="AY39" s="1">
        <v>5160960.9450000003</v>
      </c>
      <c r="AZ39" s="1">
        <v>3520960.9019999998</v>
      </c>
      <c r="BA39" s="1">
        <v>5602060.4399999995</v>
      </c>
      <c r="BB39" s="1">
        <v>4663223.568</v>
      </c>
      <c r="BC39" s="1">
        <v>4532661.4050000003</v>
      </c>
      <c r="BD39" s="1">
        <v>3392052.273</v>
      </c>
      <c r="BE39" s="1">
        <v>2951776.773</v>
      </c>
      <c r="BF39" s="1">
        <v>3095036.469</v>
      </c>
      <c r="BG39" s="1">
        <v>5357890.7910000002</v>
      </c>
      <c r="BH39" s="1">
        <v>6775831.1970000006</v>
      </c>
      <c r="BI39" s="1">
        <v>5924874.3930000002</v>
      </c>
      <c r="BJ39" s="1">
        <v>5764908.8160000006</v>
      </c>
      <c r="BK39" s="1">
        <v>7899708.5100000007</v>
      </c>
      <c r="BL39" s="1">
        <v>5140116.1440000003</v>
      </c>
      <c r="BM39" s="1">
        <v>5856378.9929999998</v>
      </c>
      <c r="BN39" s="1">
        <v>5319907.8210000005</v>
      </c>
      <c r="BO39" s="1">
        <v>4879378.7910000002</v>
      </c>
      <c r="BP39" s="1">
        <v>4902692.9580000006</v>
      </c>
      <c r="BQ39" s="1">
        <v>2771686.8000000003</v>
      </c>
      <c r="BR39" s="1">
        <v>2713601.52</v>
      </c>
      <c r="BS39" s="1">
        <v>4658613.9750000006</v>
      </c>
      <c r="BT39" s="1">
        <v>5134532.6789999995</v>
      </c>
      <c r="BU39" s="1">
        <v>5350417.0470000003</v>
      </c>
      <c r="BV39" s="1">
        <v>5137882.7850000001</v>
      </c>
      <c r="BW39" s="1">
        <v>6438845.6910000006</v>
      </c>
      <c r="BX39" s="1">
        <v>4789869.8669999996</v>
      </c>
      <c r="BY39" s="1">
        <v>6178652.6130000008</v>
      </c>
      <c r="BZ39" s="1">
        <v>17202545.234999999</v>
      </c>
      <c r="CA39" s="1">
        <v>27570134.601</v>
      </c>
      <c r="CB39" s="1">
        <v>21687263.568</v>
      </c>
      <c r="CC39" s="1">
        <v>22643712.973999999</v>
      </c>
      <c r="CD39" s="1">
        <v>35117988.416000001</v>
      </c>
      <c r="CE39" s="1">
        <v>53253788.182999998</v>
      </c>
      <c r="CF39" s="1">
        <v>59930530.671000004</v>
      </c>
      <c r="CG39" s="1">
        <v>62069920.658000007</v>
      </c>
      <c r="CH39" s="1">
        <v>59417050.214000002</v>
      </c>
      <c r="CI39" s="1">
        <v>66649519.077000007</v>
      </c>
      <c r="CJ39" s="1">
        <v>54606949.366000004</v>
      </c>
      <c r="CK39" s="1">
        <v>79913737.222000003</v>
      </c>
      <c r="CL39" s="1">
        <v>66664351.068000004</v>
      </c>
      <c r="CM39" s="1">
        <v>69561499.907000005</v>
      </c>
      <c r="CN39" s="1">
        <v>47410624.57</v>
      </c>
      <c r="CO39" s="1">
        <v>52228935.651000008</v>
      </c>
      <c r="CP39" s="1">
        <v>50393337.671999991</v>
      </c>
      <c r="CQ39" s="1">
        <v>72149407.629000008</v>
      </c>
      <c r="CR39" s="1">
        <v>88983003.020000011</v>
      </c>
      <c r="CS39" s="1">
        <v>83402383.653000012</v>
      </c>
      <c r="CT39" s="1">
        <v>64629651.874000005</v>
      </c>
      <c r="CU39" s="1">
        <v>71654665.458999991</v>
      </c>
      <c r="CV39" s="1">
        <v>63574941.775000006</v>
      </c>
      <c r="CW39" s="1">
        <v>70869393.483999997</v>
      </c>
      <c r="CX39" s="1">
        <v>69709218.460999995</v>
      </c>
      <c r="CY39" s="1">
        <v>63199625.905000009</v>
      </c>
      <c r="CZ39" s="1">
        <v>65481548.493000001</v>
      </c>
      <c r="DA39" s="1">
        <v>60127667.392999999</v>
      </c>
      <c r="DB39" s="1">
        <v>50741695.254999995</v>
      </c>
      <c r="DC39" s="1">
        <v>75484292.325000003</v>
      </c>
      <c r="DD39" s="1">
        <v>0</v>
      </c>
      <c r="DE39" s="1">
        <v>0</v>
      </c>
      <c r="DF39" s="1">
        <v>0</v>
      </c>
      <c r="DH39" s="6">
        <f t="shared" si="2"/>
        <v>1938167241.0720003</v>
      </c>
    </row>
    <row r="40" spans="1:112" x14ac:dyDescent="0.2">
      <c r="A40" s="5" t="s">
        <v>11</v>
      </c>
      <c r="B40" s="5" t="s">
        <v>43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>
        <f t="shared" ref="AG40:CR40" si="19">AG38-AG39</f>
        <v>75979.962999999989</v>
      </c>
      <c r="AH40" s="1">
        <f t="shared" si="19"/>
        <v>9343612.8379999995</v>
      </c>
      <c r="AI40" s="1">
        <f t="shared" si="19"/>
        <v>12512953.41</v>
      </c>
      <c r="AJ40" s="1">
        <f t="shared" si="19"/>
        <v>14771939.944999998</v>
      </c>
      <c r="AK40" s="1">
        <f t="shared" si="19"/>
        <v>14094019.331</v>
      </c>
      <c r="AL40" s="1">
        <f t="shared" si="19"/>
        <v>12846152.041000001</v>
      </c>
      <c r="AM40" s="1">
        <f t="shared" si="19"/>
        <v>11084465.104</v>
      </c>
      <c r="AN40" s="1">
        <f t="shared" si="19"/>
        <v>11560462.279000001</v>
      </c>
      <c r="AO40" s="1">
        <f t="shared" si="19"/>
        <v>11815291.981999997</v>
      </c>
      <c r="AP40" s="1">
        <f t="shared" si="19"/>
        <v>8279215.9519999996</v>
      </c>
      <c r="AQ40" s="1">
        <f t="shared" si="19"/>
        <v>10984408.907</v>
      </c>
      <c r="AR40" s="1">
        <f t="shared" si="19"/>
        <v>16421569.639999999</v>
      </c>
      <c r="AS40" s="1">
        <f t="shared" si="19"/>
        <v>10871418.841</v>
      </c>
      <c r="AT40" s="1">
        <f t="shared" si="19"/>
        <v>10988621.638</v>
      </c>
      <c r="AU40" s="1">
        <f t="shared" si="19"/>
        <v>17392773.561999999</v>
      </c>
      <c r="AV40" s="1">
        <f t="shared" si="19"/>
        <v>21339790.368000001</v>
      </c>
      <c r="AW40" s="1">
        <f t="shared" si="19"/>
        <v>16698991.229999999</v>
      </c>
      <c r="AX40" s="1">
        <f t="shared" si="19"/>
        <v>14749712.134</v>
      </c>
      <c r="AY40" s="1">
        <f t="shared" si="19"/>
        <v>13466827.975000001</v>
      </c>
      <c r="AZ40" s="1">
        <f t="shared" si="19"/>
        <v>15551894.728</v>
      </c>
      <c r="BA40" s="1">
        <f t="shared" si="19"/>
        <v>14830657.800000003</v>
      </c>
      <c r="BB40" s="1">
        <f t="shared" si="19"/>
        <v>13716679.932</v>
      </c>
      <c r="BC40" s="1">
        <f t="shared" si="19"/>
        <v>12701478.285</v>
      </c>
      <c r="BD40" s="1">
        <f t="shared" si="19"/>
        <v>10368701.827</v>
      </c>
      <c r="BE40" s="1">
        <f t="shared" si="19"/>
        <v>8394401.2669999991</v>
      </c>
      <c r="BF40" s="1">
        <f t="shared" si="19"/>
        <v>10052609.011</v>
      </c>
      <c r="BG40" s="1">
        <f t="shared" si="19"/>
        <v>14003156.649</v>
      </c>
      <c r="BH40" s="1">
        <f t="shared" si="19"/>
        <v>18025668.873</v>
      </c>
      <c r="BI40" s="1">
        <f t="shared" si="19"/>
        <v>15476807.186999999</v>
      </c>
      <c r="BJ40" s="1">
        <f t="shared" si="19"/>
        <v>12901002.404000003</v>
      </c>
      <c r="BK40" s="1">
        <f t="shared" si="19"/>
        <v>12215545.669999998</v>
      </c>
      <c r="BL40" s="1">
        <f t="shared" si="19"/>
        <v>9494712.3259999976</v>
      </c>
      <c r="BM40" s="1">
        <f t="shared" si="19"/>
        <v>12235388.557</v>
      </c>
      <c r="BN40" s="1">
        <f t="shared" si="19"/>
        <v>8732146.2989999987</v>
      </c>
      <c r="BO40" s="1">
        <f t="shared" si="19"/>
        <v>7653519.7989999996</v>
      </c>
      <c r="BP40" s="1">
        <f t="shared" si="19"/>
        <v>6247639.7119999994</v>
      </c>
      <c r="BQ40" s="1">
        <f t="shared" si="19"/>
        <v>4951156.589999998</v>
      </c>
      <c r="BR40" s="1">
        <f t="shared" si="19"/>
        <v>5397419.8300000001</v>
      </c>
      <c r="BS40" s="1">
        <f t="shared" si="19"/>
        <v>9821859.3749999963</v>
      </c>
      <c r="BT40" s="1">
        <f t="shared" si="19"/>
        <v>11301356.150999999</v>
      </c>
      <c r="BU40" s="1">
        <f t="shared" si="19"/>
        <v>11778413.833000002</v>
      </c>
      <c r="BV40" s="1">
        <f t="shared" si="19"/>
        <v>10177614.105</v>
      </c>
      <c r="BW40" s="1">
        <f t="shared" si="19"/>
        <v>9518320.8289999999</v>
      </c>
      <c r="BX40" s="1">
        <f t="shared" si="19"/>
        <v>7187523.6630000016</v>
      </c>
      <c r="BY40" s="1">
        <f t="shared" si="19"/>
        <v>9563402.8369999975</v>
      </c>
      <c r="BZ40" s="1">
        <f t="shared" si="19"/>
        <v>9447158.0749999955</v>
      </c>
      <c r="CA40" s="1">
        <f t="shared" si="19"/>
        <v>7874645.4789999984</v>
      </c>
      <c r="CB40" s="1">
        <f t="shared" si="19"/>
        <v>7939869.7619999982</v>
      </c>
      <c r="CC40" s="1">
        <f t="shared" si="19"/>
        <v>4704138.9660000019</v>
      </c>
      <c r="CD40" s="1">
        <f t="shared" si="19"/>
        <v>5465723.064000003</v>
      </c>
      <c r="CE40" s="1">
        <f t="shared" si="19"/>
        <v>5563559.9069999978</v>
      </c>
      <c r="CF40" s="1">
        <f t="shared" si="19"/>
        <v>5903657.8589999974</v>
      </c>
      <c r="CG40" s="1">
        <f t="shared" si="19"/>
        <v>6202890.7220000029</v>
      </c>
      <c r="CH40" s="1">
        <f t="shared" si="19"/>
        <v>5916108.2459999993</v>
      </c>
      <c r="CI40" s="1">
        <f t="shared" si="19"/>
        <v>6446709.1930000037</v>
      </c>
      <c r="CJ40" s="1">
        <f t="shared" si="19"/>
        <v>4900087.6539999992</v>
      </c>
      <c r="CK40" s="1">
        <f t="shared" si="19"/>
        <v>6100715.0879999995</v>
      </c>
      <c r="CL40" s="1">
        <f t="shared" si="19"/>
        <v>4881217.9919999987</v>
      </c>
      <c r="CM40" s="1">
        <f t="shared" si="19"/>
        <v>4908549.6730000079</v>
      </c>
      <c r="CN40" s="1">
        <f t="shared" si="19"/>
        <v>3321327.9099999964</v>
      </c>
      <c r="CO40" s="1">
        <f t="shared" si="19"/>
        <v>3698381.8889999986</v>
      </c>
      <c r="CP40" s="1">
        <f t="shared" si="19"/>
        <v>3723228.4280000031</v>
      </c>
      <c r="CQ40" s="1">
        <f t="shared" si="19"/>
        <v>4880492.701000005</v>
      </c>
      <c r="CR40" s="1">
        <f t="shared" si="19"/>
        <v>5910793.8599999994</v>
      </c>
      <c r="CS40" s="1">
        <f t="shared" ref="CS40:DF40" si="20">CS38-CS39</f>
        <v>5607827.9069999903</v>
      </c>
      <c r="CT40" s="1">
        <f t="shared" si="20"/>
        <v>4624043.7059999928</v>
      </c>
      <c r="CU40" s="1">
        <f t="shared" si="20"/>
        <v>4493156.8709999919</v>
      </c>
      <c r="CV40" s="1">
        <f t="shared" si="20"/>
        <v>4013123.8949999958</v>
      </c>
      <c r="CW40" s="1">
        <f t="shared" si="20"/>
        <v>4633725.3959999979</v>
      </c>
      <c r="CX40" s="1">
        <f t="shared" si="20"/>
        <v>4311605.048999995</v>
      </c>
      <c r="CY40" s="1">
        <f t="shared" si="20"/>
        <v>3982421.6849999949</v>
      </c>
      <c r="CZ40" s="1">
        <f t="shared" si="20"/>
        <v>4133032.0670000017</v>
      </c>
      <c r="DA40" s="1">
        <f t="shared" si="20"/>
        <v>4041461.3269999996</v>
      </c>
      <c r="DB40" s="1">
        <f t="shared" si="20"/>
        <v>3083025.8049999997</v>
      </c>
      <c r="DC40" s="1">
        <f t="shared" si="20"/>
        <v>4753927.1949999928</v>
      </c>
      <c r="DD40" s="1">
        <f t="shared" si="20"/>
        <v>0</v>
      </c>
      <c r="DE40" s="1">
        <f t="shared" si="20"/>
        <v>0</v>
      </c>
      <c r="DF40" s="1">
        <f t="shared" si="20"/>
        <v>0</v>
      </c>
      <c r="DH40" s="6">
        <f t="shared" si="2"/>
        <v>677063892.04999971</v>
      </c>
    </row>
    <row r="41" spans="1:112" x14ac:dyDescent="0.2">
      <c r="A41" s="5" t="s">
        <v>11</v>
      </c>
      <c r="B41" s="5" t="s">
        <v>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-239.78999999999905</v>
      </c>
      <c r="AF41" s="1">
        <v>36985.23000000001</v>
      </c>
      <c r="AG41" s="1">
        <v>144019.11000000004</v>
      </c>
      <c r="AH41" s="1">
        <v>1703415.6799999992</v>
      </c>
      <c r="AI41" s="1">
        <v>1804298.6599999988</v>
      </c>
      <c r="AJ41" s="1">
        <v>3484946.1999999997</v>
      </c>
      <c r="AK41" s="1">
        <v>3611199.79</v>
      </c>
      <c r="AL41" s="1">
        <v>2708652.8500000015</v>
      </c>
      <c r="AM41" s="1">
        <v>2805492.700000002</v>
      </c>
      <c r="AN41" s="1">
        <v>1333020.0500000012</v>
      </c>
      <c r="AO41" s="1">
        <v>1867034.0999999992</v>
      </c>
      <c r="AP41" s="1">
        <v>2087239.77</v>
      </c>
      <c r="AQ41" s="1">
        <v>2008090.959999999</v>
      </c>
      <c r="AR41" s="1">
        <v>2191485.5399999996</v>
      </c>
      <c r="AS41" s="1">
        <v>1801748.1300000008</v>
      </c>
      <c r="AT41" s="1">
        <v>1492900.8700000003</v>
      </c>
      <c r="AU41" s="1">
        <v>3883674.0700000003</v>
      </c>
      <c r="AV41" s="1">
        <v>1570660.3199999994</v>
      </c>
      <c r="AW41" s="1">
        <v>4434922.080000001</v>
      </c>
      <c r="AX41" s="1">
        <v>1398706.1299999994</v>
      </c>
      <c r="AY41" s="1">
        <v>1962255.7900000005</v>
      </c>
      <c r="AZ41" s="1">
        <v>740542.22000000055</v>
      </c>
      <c r="BA41" s="1">
        <v>1365996.2799999977</v>
      </c>
      <c r="BB41" s="1">
        <v>1431275.2400000002</v>
      </c>
      <c r="BC41" s="1">
        <v>2016708.6700000002</v>
      </c>
      <c r="BD41" s="1">
        <v>999644.74000000115</v>
      </c>
      <c r="BE41" s="1">
        <v>1166210.3200000005</v>
      </c>
      <c r="BF41" s="1">
        <v>1832685.4600000007</v>
      </c>
      <c r="BG41" s="1">
        <v>3530486.3600000008</v>
      </c>
      <c r="BH41" s="1">
        <v>3111717.6300000008</v>
      </c>
      <c r="BI41" s="1">
        <v>2641693.4499999988</v>
      </c>
      <c r="BJ41" s="1">
        <v>2410629.6700000009</v>
      </c>
      <c r="BK41" s="1">
        <v>1494441.05</v>
      </c>
      <c r="BL41" s="1">
        <v>1193982.2299999993</v>
      </c>
      <c r="BM41" s="1">
        <v>2275690.0699999989</v>
      </c>
      <c r="BN41" s="1">
        <v>1418907.3900000001</v>
      </c>
      <c r="BO41" s="1">
        <v>2024803.3599999999</v>
      </c>
      <c r="BP41" s="1">
        <v>484843.8200000003</v>
      </c>
      <c r="BQ41" s="1">
        <v>1409549.21</v>
      </c>
      <c r="BR41" s="1">
        <v>1048451.2799999998</v>
      </c>
      <c r="BS41" s="1">
        <v>1934261.05</v>
      </c>
      <c r="BT41" s="1">
        <v>2001444.8699999992</v>
      </c>
      <c r="BU41" s="1">
        <v>1227995.0400000007</v>
      </c>
      <c r="BV41" s="1">
        <v>2533959.2600000007</v>
      </c>
      <c r="BW41" s="1">
        <v>1933438.9499999997</v>
      </c>
      <c r="BX41" s="1">
        <v>1219280.3299999996</v>
      </c>
      <c r="BY41" s="1">
        <v>1366514.9800000002</v>
      </c>
      <c r="BZ41" s="1">
        <v>3529186.2899999991</v>
      </c>
      <c r="CA41" s="1">
        <v>5440652.7000000002</v>
      </c>
      <c r="CB41" s="1">
        <v>3993069.4299999983</v>
      </c>
      <c r="CC41" s="1">
        <v>3893780.2</v>
      </c>
      <c r="CD41" s="1">
        <v>4542229.0899999971</v>
      </c>
      <c r="CE41" s="1">
        <v>8187522.040000001</v>
      </c>
      <c r="CF41" s="1">
        <v>6566150.5500000007</v>
      </c>
      <c r="CG41" s="1">
        <v>9029019.0300000031</v>
      </c>
      <c r="CH41" s="1">
        <v>4035337.3599999985</v>
      </c>
      <c r="CI41" s="1">
        <v>9295355.7200000007</v>
      </c>
      <c r="CJ41" s="1">
        <v>7349433.169999999</v>
      </c>
      <c r="CK41" s="1">
        <v>6222043.7400000012</v>
      </c>
      <c r="CL41" s="1">
        <v>8294716.3099999987</v>
      </c>
      <c r="CM41" s="1">
        <v>7972800.1500000004</v>
      </c>
      <c r="CN41" s="1">
        <v>6774236.1399999969</v>
      </c>
      <c r="CO41" s="1">
        <v>5486930.3799999999</v>
      </c>
      <c r="CP41" s="1">
        <v>5912091.9299999978</v>
      </c>
      <c r="CQ41" s="1">
        <v>7358595.0499999961</v>
      </c>
      <c r="CR41" s="1">
        <v>8361223.650000006</v>
      </c>
      <c r="CS41" s="1">
        <v>11687121.179999998</v>
      </c>
      <c r="CT41" s="1">
        <v>9730924.7999999989</v>
      </c>
      <c r="CU41" s="1">
        <v>8818009.7300000042</v>
      </c>
      <c r="CV41" s="1">
        <v>4709886.9300000006</v>
      </c>
      <c r="CW41" s="1">
        <v>7900226.9600000028</v>
      </c>
      <c r="CX41" s="1">
        <v>8884363.8000000007</v>
      </c>
      <c r="CY41" s="1">
        <v>7672938.3200000003</v>
      </c>
      <c r="CZ41" s="1">
        <v>7427267.6899999985</v>
      </c>
      <c r="DA41" s="1">
        <v>6132927.6600000029</v>
      </c>
      <c r="DB41" s="1">
        <v>4579954.4800000014</v>
      </c>
      <c r="DC41" s="1">
        <v>5572337.0800000075</v>
      </c>
      <c r="DD41" s="1">
        <v>0</v>
      </c>
      <c r="DE41" s="1">
        <v>0</v>
      </c>
      <c r="DF41" s="1">
        <v>0</v>
      </c>
      <c r="DH41" s="6">
        <f t="shared" si="2"/>
        <v>292505992.73000008</v>
      </c>
    </row>
    <row r="42" spans="1:112" x14ac:dyDescent="0.2">
      <c r="A42" s="5" t="s">
        <v>11</v>
      </c>
      <c r="B42" s="5" t="s">
        <v>44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-215.81099999999915</v>
      </c>
      <c r="AF42" s="1">
        <v>33286.707000000009</v>
      </c>
      <c r="AG42" s="1">
        <v>128051.24400000004</v>
      </c>
      <c r="AH42" s="1">
        <v>250326.88199999998</v>
      </c>
      <c r="AI42" s="1">
        <v>449006.49000000011</v>
      </c>
      <c r="AJ42" s="1">
        <v>690460.74000000011</v>
      </c>
      <c r="AK42" s="1">
        <v>794410.23600000003</v>
      </c>
      <c r="AL42" s="1">
        <v>726494.7690000002</v>
      </c>
      <c r="AM42" s="1">
        <v>822045.9150000005</v>
      </c>
      <c r="AN42" s="1">
        <v>540274.59000000008</v>
      </c>
      <c r="AO42" s="1">
        <v>643719.7170000003</v>
      </c>
      <c r="AP42" s="1">
        <v>482194.70100000012</v>
      </c>
      <c r="AQ42" s="1">
        <v>573679.50299999991</v>
      </c>
      <c r="AR42" s="1">
        <v>466190.739</v>
      </c>
      <c r="AS42" s="1">
        <v>389453.44500000007</v>
      </c>
      <c r="AT42" s="1">
        <v>275980.07700000005</v>
      </c>
      <c r="AU42" s="1">
        <v>536395.28400000022</v>
      </c>
      <c r="AV42" s="1">
        <v>569314.53899999999</v>
      </c>
      <c r="AW42" s="1">
        <v>968399.80199999979</v>
      </c>
      <c r="AX42" s="1">
        <v>599146.38000000024</v>
      </c>
      <c r="AY42" s="1">
        <v>857626.55099999974</v>
      </c>
      <c r="AZ42" s="1">
        <v>396368.10000000003</v>
      </c>
      <c r="BA42" s="1">
        <v>460620.3239999995</v>
      </c>
      <c r="BB42" s="1">
        <v>542381.48999999964</v>
      </c>
      <c r="BC42" s="1">
        <v>652006.49400000018</v>
      </c>
      <c r="BD42" s="1">
        <v>400171.82400000031</v>
      </c>
      <c r="BE42" s="1">
        <v>411855.53400000022</v>
      </c>
      <c r="BF42" s="1">
        <v>502188.34500000026</v>
      </c>
      <c r="BG42" s="1">
        <v>936032.45400000049</v>
      </c>
      <c r="BH42" s="1">
        <v>754296.93900000001</v>
      </c>
      <c r="BI42" s="1">
        <v>759166.0199999999</v>
      </c>
      <c r="BJ42" s="1">
        <v>716528.34900000028</v>
      </c>
      <c r="BK42" s="1">
        <v>776450.27700000023</v>
      </c>
      <c r="BL42" s="1">
        <v>563645.81699999992</v>
      </c>
      <c r="BM42" s="1">
        <v>774829.26899999927</v>
      </c>
      <c r="BN42" s="1">
        <v>648482.67000000074</v>
      </c>
      <c r="BO42" s="1">
        <v>640154.0610000001</v>
      </c>
      <c r="BP42" s="1">
        <v>134176.93200000041</v>
      </c>
      <c r="BQ42" s="1">
        <v>422072.22600000014</v>
      </c>
      <c r="BR42" s="1">
        <v>368633.4479999998</v>
      </c>
      <c r="BS42" s="1">
        <v>529382.1240000003</v>
      </c>
      <c r="BT42" s="1">
        <v>597215.56499999971</v>
      </c>
      <c r="BU42" s="1">
        <v>422511.52500000002</v>
      </c>
      <c r="BV42" s="1">
        <v>753835.40100000054</v>
      </c>
      <c r="BW42" s="1">
        <v>621037.53000000014</v>
      </c>
      <c r="BX42" s="1">
        <v>363280.96799999959</v>
      </c>
      <c r="BY42" s="1">
        <v>354800.77200000006</v>
      </c>
      <c r="BZ42" s="1">
        <v>320922.05400000006</v>
      </c>
      <c r="CA42" s="1">
        <v>170186.11200000005</v>
      </c>
      <c r="CB42" s="1">
        <v>97142.453999999954</v>
      </c>
      <c r="CC42" s="1">
        <v>1825939.4410000003</v>
      </c>
      <c r="CD42" s="1">
        <v>4021331.5579999974</v>
      </c>
      <c r="CE42" s="1">
        <v>7440468.4570000004</v>
      </c>
      <c r="CF42" s="1">
        <v>5968275.3280000007</v>
      </c>
      <c r="CG42" s="1">
        <v>8263397.632000003</v>
      </c>
      <c r="CH42" s="1">
        <v>3701427.4979999987</v>
      </c>
      <c r="CI42" s="1">
        <v>8502507.9250000007</v>
      </c>
      <c r="CJ42" s="1">
        <v>6737145.1839999985</v>
      </c>
      <c r="CK42" s="1">
        <v>5852430.5550000006</v>
      </c>
      <c r="CL42" s="1">
        <v>7729435.0039999988</v>
      </c>
      <c r="CM42" s="1">
        <v>7449130.3540000003</v>
      </c>
      <c r="CN42" s="1">
        <v>6309177.8589999974</v>
      </c>
      <c r="CO42" s="1">
        <v>5083402.1119999997</v>
      </c>
      <c r="CP42" s="1">
        <v>5505404.3749999981</v>
      </c>
      <c r="CQ42" s="1">
        <v>6854068.7889999961</v>
      </c>
      <c r="CR42" s="1">
        <v>7806223.1570000052</v>
      </c>
      <c r="CS42" s="1">
        <v>10969649.826999998</v>
      </c>
      <c r="CT42" s="1">
        <v>9103655.1940000001</v>
      </c>
      <c r="CU42" s="1">
        <v>8240861.9020000035</v>
      </c>
      <c r="CV42" s="1">
        <v>4303129.5330000008</v>
      </c>
      <c r="CW42" s="1">
        <v>7397882.8950000023</v>
      </c>
      <c r="CX42" s="1">
        <v>8401937.9250000007</v>
      </c>
      <c r="CY42" s="1">
        <v>7142161.8130000001</v>
      </c>
      <c r="CZ42" s="1">
        <v>6929544.6469999989</v>
      </c>
      <c r="DA42" s="1">
        <v>5748163.1120000035</v>
      </c>
      <c r="DB42" s="1">
        <v>4313475.6460000016</v>
      </c>
      <c r="DC42" s="1">
        <v>5144908.9580000071</v>
      </c>
      <c r="DD42" s="1">
        <v>0</v>
      </c>
      <c r="DE42" s="1">
        <v>0</v>
      </c>
      <c r="DF42" s="1">
        <v>0</v>
      </c>
      <c r="DH42" s="6">
        <f t="shared" si="2"/>
        <v>202631754.25799999</v>
      </c>
    </row>
    <row r="43" spans="1:112" x14ac:dyDescent="0.2">
      <c r="A43" s="5" t="s">
        <v>11</v>
      </c>
      <c r="B43" s="5" t="s">
        <v>45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f t="shared" ref="AG43:BN43" si="21">AG41-AG42</f>
        <v>15967.866000000009</v>
      </c>
      <c r="AH43" s="1">
        <f t="shared" si="21"/>
        <v>1453088.7979999993</v>
      </c>
      <c r="AI43" s="1">
        <f t="shared" si="21"/>
        <v>1355292.1699999985</v>
      </c>
      <c r="AJ43" s="1">
        <f t="shared" si="21"/>
        <v>2794485.4599999995</v>
      </c>
      <c r="AK43" s="1">
        <f t="shared" si="21"/>
        <v>2816789.554</v>
      </c>
      <c r="AL43" s="1">
        <f t="shared" si="21"/>
        <v>1982158.0810000012</v>
      </c>
      <c r="AM43" s="1">
        <f t="shared" si="21"/>
        <v>1983446.7850000015</v>
      </c>
      <c r="AN43" s="1">
        <f t="shared" si="21"/>
        <v>792745.46000000113</v>
      </c>
      <c r="AO43" s="1">
        <f t="shared" si="21"/>
        <v>1223314.382999999</v>
      </c>
      <c r="AP43" s="1">
        <f t="shared" si="21"/>
        <v>1605045.0689999999</v>
      </c>
      <c r="AQ43" s="1">
        <f t="shared" si="21"/>
        <v>1434411.456999999</v>
      </c>
      <c r="AR43" s="1">
        <f t="shared" si="21"/>
        <v>1725294.8009999995</v>
      </c>
      <c r="AS43" s="1">
        <f t="shared" si="21"/>
        <v>1412294.6850000008</v>
      </c>
      <c r="AT43" s="1">
        <f t="shared" si="21"/>
        <v>1216920.7930000003</v>
      </c>
      <c r="AU43" s="1">
        <f t="shared" si="21"/>
        <v>3347278.7860000003</v>
      </c>
      <c r="AV43" s="1">
        <f t="shared" si="21"/>
        <v>1001345.7809999994</v>
      </c>
      <c r="AW43" s="1">
        <f t="shared" si="21"/>
        <v>3466522.2780000013</v>
      </c>
      <c r="AX43" s="1">
        <f t="shared" si="21"/>
        <v>799559.74999999919</v>
      </c>
      <c r="AY43" s="1">
        <f t="shared" si="21"/>
        <v>1104629.2390000008</v>
      </c>
      <c r="AZ43" s="1">
        <f t="shared" si="21"/>
        <v>344174.12000000052</v>
      </c>
      <c r="BA43" s="1">
        <f t="shared" si="21"/>
        <v>905375.95599999814</v>
      </c>
      <c r="BB43" s="1">
        <f t="shared" si="21"/>
        <v>888893.75000000058</v>
      </c>
      <c r="BC43" s="1">
        <f t="shared" si="21"/>
        <v>1364702.176</v>
      </c>
      <c r="BD43" s="1">
        <f t="shared" si="21"/>
        <v>599472.9160000009</v>
      </c>
      <c r="BE43" s="1">
        <f t="shared" si="21"/>
        <v>754354.78600000031</v>
      </c>
      <c r="BF43" s="1">
        <f t="shared" si="21"/>
        <v>1330497.1150000005</v>
      </c>
      <c r="BG43" s="1">
        <f t="shared" si="21"/>
        <v>2594453.9060000004</v>
      </c>
      <c r="BH43" s="1">
        <f t="shared" si="21"/>
        <v>2357420.6910000006</v>
      </c>
      <c r="BI43" s="1">
        <f t="shared" si="21"/>
        <v>1882527.4299999988</v>
      </c>
      <c r="BJ43" s="1">
        <f t="shared" si="21"/>
        <v>1694101.3210000005</v>
      </c>
      <c r="BK43" s="1">
        <f t="shared" si="21"/>
        <v>717990.77299999981</v>
      </c>
      <c r="BL43" s="1">
        <f t="shared" si="21"/>
        <v>630336.41299999936</v>
      </c>
      <c r="BM43" s="1">
        <f t="shared" si="21"/>
        <v>1500860.8009999995</v>
      </c>
      <c r="BN43" s="1">
        <f t="shared" si="21"/>
        <v>770424.71999999939</v>
      </c>
      <c r="BO43" s="1">
        <f>BO41-BO42</f>
        <v>1384649.2989999996</v>
      </c>
      <c r="BP43" s="1">
        <f t="shared" ref="BP43:DF43" si="22">BP41-BP42</f>
        <v>350666.88799999992</v>
      </c>
      <c r="BQ43" s="1">
        <f t="shared" si="22"/>
        <v>987476.98399999982</v>
      </c>
      <c r="BR43" s="1">
        <f t="shared" si="22"/>
        <v>679817.83199999994</v>
      </c>
      <c r="BS43" s="1">
        <f t="shared" si="22"/>
        <v>1404878.9259999997</v>
      </c>
      <c r="BT43" s="1">
        <f t="shared" si="22"/>
        <v>1404229.3049999995</v>
      </c>
      <c r="BU43" s="1">
        <f t="shared" si="22"/>
        <v>805483.51500000071</v>
      </c>
      <c r="BV43" s="1">
        <f t="shared" si="22"/>
        <v>1780123.8590000002</v>
      </c>
      <c r="BW43" s="1">
        <f t="shared" si="22"/>
        <v>1312401.4199999995</v>
      </c>
      <c r="BX43" s="1">
        <f t="shared" si="22"/>
        <v>855999.36199999996</v>
      </c>
      <c r="BY43" s="1">
        <f t="shared" si="22"/>
        <v>1011714.2080000001</v>
      </c>
      <c r="BZ43" s="1">
        <f t="shared" si="22"/>
        <v>3208264.2359999991</v>
      </c>
      <c r="CA43" s="1">
        <f t="shared" si="22"/>
        <v>5270466.5880000005</v>
      </c>
      <c r="CB43" s="1">
        <f t="shared" si="22"/>
        <v>3895926.9759999984</v>
      </c>
      <c r="CC43" s="1">
        <f t="shared" si="22"/>
        <v>2067840.7589999998</v>
      </c>
      <c r="CD43" s="1">
        <f t="shared" si="22"/>
        <v>520897.53199999966</v>
      </c>
      <c r="CE43" s="1">
        <f t="shared" si="22"/>
        <v>747053.58300000057</v>
      </c>
      <c r="CF43" s="1">
        <f t="shared" si="22"/>
        <v>597875.22200000007</v>
      </c>
      <c r="CG43" s="1">
        <f t="shared" si="22"/>
        <v>765621.39800000004</v>
      </c>
      <c r="CH43" s="1">
        <f t="shared" si="22"/>
        <v>333909.86199999973</v>
      </c>
      <c r="CI43" s="1">
        <f t="shared" si="22"/>
        <v>792847.79499999993</v>
      </c>
      <c r="CJ43" s="1">
        <f t="shared" si="22"/>
        <v>612287.9860000005</v>
      </c>
      <c r="CK43" s="1">
        <f t="shared" si="22"/>
        <v>369613.18500000052</v>
      </c>
      <c r="CL43" s="1">
        <f t="shared" si="22"/>
        <v>565281.30599999987</v>
      </c>
      <c r="CM43" s="1">
        <f t="shared" si="22"/>
        <v>523669.79600000009</v>
      </c>
      <c r="CN43" s="1">
        <f t="shared" si="22"/>
        <v>465058.28099999949</v>
      </c>
      <c r="CO43" s="1">
        <f t="shared" si="22"/>
        <v>403528.26800000016</v>
      </c>
      <c r="CP43" s="1">
        <f t="shared" si="22"/>
        <v>406687.5549999997</v>
      </c>
      <c r="CQ43" s="1">
        <f t="shared" si="22"/>
        <v>504526.26099999994</v>
      </c>
      <c r="CR43" s="1">
        <f t="shared" si="22"/>
        <v>555000.49300000072</v>
      </c>
      <c r="CS43" s="1">
        <f t="shared" si="22"/>
        <v>717471.35300000012</v>
      </c>
      <c r="CT43" s="1">
        <f t="shared" si="22"/>
        <v>627269.60599999875</v>
      </c>
      <c r="CU43" s="1">
        <f t="shared" si="22"/>
        <v>577147.82800000068</v>
      </c>
      <c r="CV43" s="1">
        <f t="shared" si="22"/>
        <v>406757.39699999988</v>
      </c>
      <c r="CW43" s="1">
        <f t="shared" si="22"/>
        <v>502344.06500000041</v>
      </c>
      <c r="CX43" s="1">
        <f t="shared" si="22"/>
        <v>482425.875</v>
      </c>
      <c r="CY43" s="1">
        <f t="shared" si="22"/>
        <v>530776.50700000022</v>
      </c>
      <c r="CZ43" s="1">
        <f t="shared" si="22"/>
        <v>497723.0429999996</v>
      </c>
      <c r="DA43" s="1">
        <f t="shared" si="22"/>
        <v>384764.54799999949</v>
      </c>
      <c r="DB43" s="1">
        <f t="shared" si="22"/>
        <v>266478.8339999998</v>
      </c>
      <c r="DC43" s="1">
        <f t="shared" si="22"/>
        <v>427428.12200000044</v>
      </c>
      <c r="DD43" s="1">
        <f t="shared" si="22"/>
        <v>0</v>
      </c>
      <c r="DE43" s="1">
        <f t="shared" si="22"/>
        <v>0</v>
      </c>
      <c r="DF43" s="1">
        <f t="shared" si="22"/>
        <v>0</v>
      </c>
      <c r="DH43" s="6">
        <f t="shared" si="2"/>
        <v>89870563.928000033</v>
      </c>
    </row>
    <row r="44" spans="1:112" x14ac:dyDescent="0.2">
      <c r="A44" s="5" t="s">
        <v>11</v>
      </c>
      <c r="B44" s="5" t="s">
        <v>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v>-239.78999999999905</v>
      </c>
      <c r="AF44" s="1">
        <v>36985.23000000001</v>
      </c>
      <c r="AG44" s="1">
        <v>144019.11000000004</v>
      </c>
      <c r="AH44" s="1">
        <v>1703415.6799999992</v>
      </c>
      <c r="AI44" s="1">
        <v>1804298.6599999988</v>
      </c>
      <c r="AJ44" s="1">
        <v>3484946.1999999997</v>
      </c>
      <c r="AK44" s="1">
        <v>3611199.79</v>
      </c>
      <c r="AL44" s="1">
        <v>2708652.8500000015</v>
      </c>
      <c r="AM44" s="1">
        <v>2805492.700000002</v>
      </c>
      <c r="AN44" s="1">
        <v>1333020.0500000012</v>
      </c>
      <c r="AO44" s="1">
        <v>1867034.0999999992</v>
      </c>
      <c r="AP44" s="1">
        <v>2087239.77</v>
      </c>
      <c r="AQ44" s="1">
        <v>2008090.959999999</v>
      </c>
      <c r="AR44" s="1">
        <v>2191485.5399999996</v>
      </c>
      <c r="AS44" s="1">
        <v>1801748.1300000008</v>
      </c>
      <c r="AT44" s="1">
        <v>1492900.8700000003</v>
      </c>
      <c r="AU44" s="1">
        <v>3883674.0700000003</v>
      </c>
      <c r="AV44" s="1">
        <v>1570660.3199999994</v>
      </c>
      <c r="AW44" s="1">
        <v>4434922.08</v>
      </c>
      <c r="AX44" s="1">
        <v>1398706.1299999994</v>
      </c>
      <c r="AY44" s="1">
        <v>1962255.7900000005</v>
      </c>
      <c r="AZ44" s="1">
        <v>740542.22000000055</v>
      </c>
      <c r="BA44" s="1">
        <v>1365996.2799999977</v>
      </c>
      <c r="BB44" s="1">
        <v>1431275.2400000002</v>
      </c>
      <c r="BC44" s="1">
        <v>2016708.6700000002</v>
      </c>
      <c r="BD44" s="1">
        <v>999644.74000000115</v>
      </c>
      <c r="BE44" s="1">
        <v>1166210.3200000005</v>
      </c>
      <c r="BF44" s="1">
        <v>1832685.4600000007</v>
      </c>
      <c r="BG44" s="1">
        <v>3530486.3600000013</v>
      </c>
      <c r="BH44" s="1">
        <v>3111717.6300000008</v>
      </c>
      <c r="BI44" s="1">
        <v>2641693.4499999988</v>
      </c>
      <c r="BJ44" s="1">
        <v>2410629.6700000009</v>
      </c>
      <c r="BK44" s="1">
        <v>1494441.05</v>
      </c>
      <c r="BL44" s="1">
        <v>1193982.2299999991</v>
      </c>
      <c r="BM44" s="1">
        <v>2275690.0699999989</v>
      </c>
      <c r="BN44" s="1">
        <v>1418907.39</v>
      </c>
      <c r="BO44" s="1">
        <v>2024803.3599999999</v>
      </c>
      <c r="BP44" s="1">
        <v>484843.82000000024</v>
      </c>
      <c r="BQ44" s="1">
        <v>1409549.2100000002</v>
      </c>
      <c r="BR44" s="1">
        <v>1048451.2799999999</v>
      </c>
      <c r="BS44" s="1">
        <v>1934261.05</v>
      </c>
      <c r="BT44" s="1">
        <v>2001444.8699999992</v>
      </c>
      <c r="BU44" s="1">
        <v>1227995.0400000007</v>
      </c>
      <c r="BV44" s="1">
        <v>2533959.2600000007</v>
      </c>
      <c r="BW44" s="1">
        <v>1933438.9499999997</v>
      </c>
      <c r="BX44" s="1">
        <v>1219280.3299999996</v>
      </c>
      <c r="BY44" s="1">
        <v>1366514.9800000002</v>
      </c>
      <c r="BZ44" s="1">
        <v>3529186.2899999977</v>
      </c>
      <c r="CA44" s="1">
        <v>5440652.7000000002</v>
      </c>
      <c r="CB44" s="1">
        <v>3993069.4300000006</v>
      </c>
      <c r="CC44" s="1">
        <v>3893780.1999999993</v>
      </c>
      <c r="CD44" s="1">
        <v>4542229.089999998</v>
      </c>
      <c r="CE44" s="1">
        <v>8187522.040000001</v>
      </c>
      <c r="CF44" s="1">
        <v>6566150.5500000007</v>
      </c>
      <c r="CG44" s="1">
        <v>9029019.0300000049</v>
      </c>
      <c r="CH44" s="1">
        <v>4035337.3599999985</v>
      </c>
      <c r="CI44" s="1">
        <v>9295355.7199999988</v>
      </c>
      <c r="CJ44" s="1">
        <v>7349433.169999999</v>
      </c>
      <c r="CK44" s="1">
        <v>6222043.7400000012</v>
      </c>
      <c r="CL44" s="1">
        <v>8294716.3099999987</v>
      </c>
      <c r="CM44" s="1">
        <v>7972800.1500000004</v>
      </c>
      <c r="CN44" s="1">
        <v>6774236.1399999987</v>
      </c>
      <c r="CO44" s="1">
        <v>5486930.379999999</v>
      </c>
      <c r="CP44" s="1">
        <v>5912091.9299999978</v>
      </c>
      <c r="CQ44" s="1">
        <v>7358595.0499999961</v>
      </c>
      <c r="CR44" s="1">
        <v>8361223.650000005</v>
      </c>
      <c r="CS44" s="1">
        <v>11687121.179999994</v>
      </c>
      <c r="CT44" s="1">
        <v>9730924.7999999989</v>
      </c>
      <c r="CU44" s="1">
        <v>8818009.7300000042</v>
      </c>
      <c r="CV44" s="1">
        <v>4709886.9300000006</v>
      </c>
      <c r="CW44" s="1">
        <v>7900226.9600000028</v>
      </c>
      <c r="CX44" s="1">
        <v>8884363.7999999989</v>
      </c>
      <c r="CY44" s="1">
        <v>7672938.3200000003</v>
      </c>
      <c r="CZ44" s="1">
        <v>7427267.6899999985</v>
      </c>
      <c r="DA44" s="1">
        <v>6132927.660000002</v>
      </c>
      <c r="DB44" s="1">
        <v>4579954.4800000004</v>
      </c>
      <c r="DC44" s="1">
        <v>5572337.0800000066</v>
      </c>
      <c r="DD44" s="1">
        <v>0</v>
      </c>
      <c r="DE44" s="1">
        <v>0</v>
      </c>
      <c r="DF44" s="1">
        <v>0</v>
      </c>
      <c r="DH44" s="6">
        <f t="shared" si="2"/>
        <v>292505992.73000008</v>
      </c>
    </row>
    <row r="45" spans="1:112" x14ac:dyDescent="0.2">
      <c r="A45" s="5" t="s">
        <v>11</v>
      </c>
      <c r="B45" s="5" t="s">
        <v>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>
        <v>-119.89499999999953</v>
      </c>
      <c r="AF45" s="1">
        <v>18492.615000000005</v>
      </c>
      <c r="AG45" s="1">
        <v>71313.580000000016</v>
      </c>
      <c r="AH45" s="1">
        <v>281597.95999999996</v>
      </c>
      <c r="AI45" s="1">
        <v>379988.31000000006</v>
      </c>
      <c r="AJ45" s="1">
        <v>655366.06000000006</v>
      </c>
      <c r="AK45" s="1">
        <v>714191.12</v>
      </c>
      <c r="AL45" s="1">
        <v>593751.84500000009</v>
      </c>
      <c r="AM45" s="1">
        <v>645903.01500000025</v>
      </c>
      <c r="AN45" s="1">
        <v>373423.94000000006</v>
      </c>
      <c r="AO45" s="1">
        <v>472801.06500000018</v>
      </c>
      <c r="AP45" s="1">
        <v>423032.7350000001</v>
      </c>
      <c r="AQ45" s="1">
        <v>455777.76499999996</v>
      </c>
      <c r="AR45" s="1">
        <v>426344.44500000001</v>
      </c>
      <c r="AS45" s="1">
        <v>353265.23500000004</v>
      </c>
      <c r="AT45" s="1">
        <v>271947.90500000003</v>
      </c>
      <c r="AU45" s="1">
        <v>626765.32000000007</v>
      </c>
      <c r="AV45" s="1">
        <v>413186.83500000002</v>
      </c>
      <c r="AW45" s="1">
        <v>873892.11999999988</v>
      </c>
      <c r="AX45" s="1">
        <v>406157.89000000013</v>
      </c>
      <c r="AY45" s="1">
        <v>577392.94499999983</v>
      </c>
      <c r="AZ45" s="1">
        <v>250217.82</v>
      </c>
      <c r="BA45" s="1">
        <v>341319.58999999968</v>
      </c>
      <c r="BB45" s="1">
        <v>384185.95999999979</v>
      </c>
      <c r="BC45" s="1">
        <v>491451.53000000009</v>
      </c>
      <c r="BD45" s="1">
        <v>277918.62000000017</v>
      </c>
      <c r="BE45" s="1">
        <v>299667.98000000016</v>
      </c>
      <c r="BF45" s="1">
        <v>406463.37500000012</v>
      </c>
      <c r="BG45" s="1">
        <v>769063.06000000029</v>
      </c>
      <c r="BH45" s="1">
        <v>646414.84499999997</v>
      </c>
      <c r="BI45" s="1">
        <v>601576.47</v>
      </c>
      <c r="BJ45" s="1">
        <v>559520.00500000024</v>
      </c>
      <c r="BK45" s="1">
        <v>496609.44500000012</v>
      </c>
      <c r="BL45" s="1">
        <v>377054.78499999992</v>
      </c>
      <c r="BM45" s="1">
        <v>571937.5849999995</v>
      </c>
      <c r="BN45" s="1">
        <v>433222.56000000035</v>
      </c>
      <c r="BO45" s="1">
        <v>486993.26500000001</v>
      </c>
      <c r="BP45" s="1">
        <v>108821.11000000022</v>
      </c>
      <c r="BQ45" s="1">
        <v>328542.57000000012</v>
      </c>
      <c r="BR45" s="1">
        <v>274048.10999999987</v>
      </c>
      <c r="BS45" s="1">
        <v>432157.19000000018</v>
      </c>
      <c r="BT45" s="1">
        <v>467150.51499999978</v>
      </c>
      <c r="BU45" s="1">
        <v>310582.40500000003</v>
      </c>
      <c r="BV45" s="1">
        <v>588915.90500000038</v>
      </c>
      <c r="BW45" s="1">
        <v>469360.57000000007</v>
      </c>
      <c r="BX45" s="1">
        <v>283386.23999999976</v>
      </c>
      <c r="BY45" s="1">
        <v>294340.75000000012</v>
      </c>
      <c r="BZ45" s="1">
        <v>1650236.2349999992</v>
      </c>
      <c r="CA45" s="1">
        <v>2564563.6450000005</v>
      </c>
      <c r="CB45" s="1">
        <v>1892653.3550000002</v>
      </c>
      <c r="CC45" s="1">
        <v>1116667.0299999998</v>
      </c>
      <c r="CD45" s="1">
        <v>1039764.425</v>
      </c>
      <c r="CE45" s="1">
        <v>1912748.4499999997</v>
      </c>
      <c r="CF45" s="1">
        <v>1466332.24</v>
      </c>
      <c r="CG45" s="1">
        <v>2056657.3000000003</v>
      </c>
      <c r="CH45" s="1">
        <v>899739.85999999987</v>
      </c>
      <c r="CI45" s="1">
        <v>2090104.0799999996</v>
      </c>
      <c r="CJ45" s="1">
        <v>1684139.12</v>
      </c>
      <c r="CK45" s="1">
        <v>1496244.6</v>
      </c>
      <c r="CL45" s="1">
        <v>1917367.34</v>
      </c>
      <c r="CM45" s="1">
        <v>1867681.29</v>
      </c>
      <c r="CN45" s="1">
        <v>1571680.5600000003</v>
      </c>
      <c r="CO45" s="1">
        <v>1266664.99</v>
      </c>
      <c r="CP45" s="1">
        <v>1382696.8299999998</v>
      </c>
      <c r="CQ45" s="1">
        <v>1692336.13</v>
      </c>
      <c r="CR45" s="1">
        <v>1969350.41</v>
      </c>
      <c r="CS45" s="1">
        <v>2808611.03</v>
      </c>
      <c r="CT45" s="1">
        <v>2314434.84</v>
      </c>
      <c r="CU45" s="1">
        <v>2080222.9399999997</v>
      </c>
      <c r="CV45" s="1">
        <v>1350492.82</v>
      </c>
      <c r="CW45" s="1">
        <v>1872328.82</v>
      </c>
      <c r="CX45" s="1">
        <v>2157865.09</v>
      </c>
      <c r="CY45" s="1">
        <v>1778932.2</v>
      </c>
      <c r="CZ45" s="1">
        <v>1731759.9400000002</v>
      </c>
      <c r="DA45" s="1">
        <v>1457717.95</v>
      </c>
      <c r="DB45" s="1">
        <v>1183235.1499999999</v>
      </c>
      <c r="DC45" s="1">
        <v>1243247.5899999999</v>
      </c>
      <c r="DD45" s="1">
        <v>0</v>
      </c>
      <c r="DE45" s="1">
        <v>0</v>
      </c>
      <c r="DF45" s="1">
        <v>0</v>
      </c>
      <c r="DH45" s="6">
        <f t="shared" si="2"/>
        <v>71501871.330000028</v>
      </c>
    </row>
    <row r="46" spans="1:112" x14ac:dyDescent="0.2">
      <c r="A46" s="5" t="str">
        <f>A45</f>
        <v>DC</v>
      </c>
      <c r="B46" s="5" t="s">
        <v>41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H46" s="6">
        <f t="shared" si="2"/>
        <v>0</v>
      </c>
    </row>
    <row r="47" spans="1:112" x14ac:dyDescent="0.2">
      <c r="A47" s="5" t="s">
        <v>12</v>
      </c>
      <c r="B47" s="5" t="s">
        <v>4</v>
      </c>
      <c r="C47" s="1"/>
      <c r="D47" s="1"/>
      <c r="E47" s="1"/>
      <c r="F47" s="1"/>
      <c r="G47" s="1"/>
      <c r="H47" s="1">
        <v>7003725</v>
      </c>
      <c r="I47" s="1">
        <v>8214765</v>
      </c>
      <c r="J47" s="1">
        <v>8018354</v>
      </c>
      <c r="K47" s="1">
        <v>23257965</v>
      </c>
      <c r="L47" s="1">
        <v>21231427</v>
      </c>
      <c r="M47" s="1">
        <v>24206090</v>
      </c>
      <c r="N47" s="1">
        <v>23419539</v>
      </c>
      <c r="O47" s="1">
        <v>14130069</v>
      </c>
      <c r="P47" s="1">
        <v>8709205</v>
      </c>
      <c r="Q47" s="1">
        <v>10483128</v>
      </c>
      <c r="R47" s="1">
        <v>6088183</v>
      </c>
      <c r="S47" s="1">
        <v>5920766</v>
      </c>
      <c r="T47" s="1">
        <v>6325464</v>
      </c>
      <c r="U47" s="1">
        <v>3920974</v>
      </c>
      <c r="V47" s="1">
        <v>4745747</v>
      </c>
      <c r="W47" s="1">
        <v>18781406</v>
      </c>
      <c r="X47" s="1">
        <v>16066023</v>
      </c>
      <c r="Y47" s="1">
        <v>16850854</v>
      </c>
      <c r="Z47" s="1">
        <v>20466561</v>
      </c>
      <c r="AA47" s="1">
        <v>11187011</v>
      </c>
      <c r="AB47" s="1">
        <v>7279650</v>
      </c>
      <c r="AC47" s="1">
        <v>3877068</v>
      </c>
      <c r="AD47" s="1">
        <v>0</v>
      </c>
      <c r="AE47" s="1">
        <v>0</v>
      </c>
      <c r="AF47" s="1">
        <v>0</v>
      </c>
      <c r="AG47" s="1">
        <v>209282</v>
      </c>
      <c r="AH47" s="1">
        <v>2957634</v>
      </c>
      <c r="AI47" s="1">
        <v>12439302</v>
      </c>
      <c r="AJ47" s="1">
        <v>17086034</v>
      </c>
      <c r="AK47" s="1">
        <v>19510093</v>
      </c>
      <c r="AL47" s="1">
        <v>15696681</v>
      </c>
      <c r="AM47" s="1">
        <v>15649254</v>
      </c>
      <c r="AN47" s="1">
        <v>7519710</v>
      </c>
      <c r="AO47" s="1">
        <v>6666118</v>
      </c>
      <c r="AP47" s="1">
        <v>5470520</v>
      </c>
      <c r="AQ47" s="1">
        <v>7060911</v>
      </c>
      <c r="AR47" s="1">
        <v>5958137</v>
      </c>
      <c r="AS47" s="1">
        <v>3565441</v>
      </c>
      <c r="AT47" s="1">
        <v>5251471</v>
      </c>
      <c r="AU47" s="1">
        <v>13702755</v>
      </c>
      <c r="AV47" s="1">
        <v>22238321</v>
      </c>
      <c r="AW47" s="1">
        <v>15567067</v>
      </c>
      <c r="AX47" s="1">
        <v>12638955</v>
      </c>
      <c r="AY47" s="1">
        <v>12637103</v>
      </c>
      <c r="AZ47" s="1">
        <v>5435407</v>
      </c>
      <c r="BA47" s="1">
        <v>5157583</v>
      </c>
      <c r="BB47" s="1">
        <v>4200298</v>
      </c>
      <c r="BC47" s="1">
        <v>5127275</v>
      </c>
      <c r="BD47" s="1">
        <v>3507846</v>
      </c>
      <c r="BE47" s="1">
        <v>2678686</v>
      </c>
      <c r="BF47" s="1">
        <v>2902652</v>
      </c>
      <c r="BG47" s="1">
        <v>8948981</v>
      </c>
      <c r="BH47" s="1">
        <v>13545163</v>
      </c>
      <c r="BI47" s="1">
        <v>10172819</v>
      </c>
      <c r="BJ47" s="1">
        <v>8157580</v>
      </c>
      <c r="BK47" s="1">
        <v>8457660</v>
      </c>
      <c r="BL47" s="1">
        <v>4120957</v>
      </c>
      <c r="BM47" s="1">
        <v>3491183</v>
      </c>
      <c r="BN47" s="1">
        <v>3450142</v>
      </c>
      <c r="BO47" s="1">
        <v>2760829</v>
      </c>
      <c r="BP47" s="1">
        <v>3128258</v>
      </c>
      <c r="BQ47" s="1">
        <v>2256345</v>
      </c>
      <c r="BR47" s="1">
        <v>2400532</v>
      </c>
      <c r="BS47" s="1">
        <v>7633259</v>
      </c>
      <c r="BT47" s="1">
        <v>10663362</v>
      </c>
      <c r="BU47" s="1">
        <v>8126283</v>
      </c>
      <c r="BV47" s="1">
        <v>8837999.1999999993</v>
      </c>
      <c r="BW47" s="1">
        <v>17085199</v>
      </c>
      <c r="BX47" s="1">
        <v>13763241</v>
      </c>
      <c r="BY47" s="1">
        <v>18935525</v>
      </c>
      <c r="BZ47" s="1">
        <v>15522996</v>
      </c>
      <c r="CA47" s="1">
        <v>15107592</v>
      </c>
      <c r="CB47" s="1">
        <v>13058698</v>
      </c>
      <c r="CC47" s="1">
        <v>9927116</v>
      </c>
      <c r="CD47" s="1">
        <v>10259279</v>
      </c>
      <c r="CE47" s="1">
        <v>23242735</v>
      </c>
      <c r="CF47" s="1">
        <v>22950662</v>
      </c>
      <c r="CG47" s="1">
        <v>26390179</v>
      </c>
      <c r="CH47" s="1">
        <v>28445372</v>
      </c>
      <c r="CI47" s="1">
        <v>23805707</v>
      </c>
      <c r="CJ47" s="1">
        <v>18056720</v>
      </c>
      <c r="CK47" s="1">
        <v>21585890</v>
      </c>
      <c r="CL47" s="1">
        <v>18213653</v>
      </c>
      <c r="CM47" s="1">
        <v>17460383</v>
      </c>
      <c r="CN47" s="1">
        <v>14421282</v>
      </c>
      <c r="CO47" s="1">
        <v>13223247</v>
      </c>
      <c r="CP47" s="1">
        <v>15605825</v>
      </c>
      <c r="CQ47" s="1">
        <v>27599351</v>
      </c>
      <c r="CR47" s="1">
        <v>28397316</v>
      </c>
      <c r="CS47" s="1">
        <v>31235302</v>
      </c>
      <c r="CT47" s="1">
        <v>23711897</v>
      </c>
      <c r="CU47" s="1">
        <v>22205209</v>
      </c>
      <c r="CV47" s="1">
        <v>16954305</v>
      </c>
      <c r="CW47" s="1">
        <v>19212472</v>
      </c>
      <c r="CX47" s="1">
        <v>17504205</v>
      </c>
      <c r="CY47" s="1">
        <v>18185343</v>
      </c>
      <c r="CZ47" s="1">
        <v>18624571</v>
      </c>
      <c r="DA47" s="1">
        <v>19114224</v>
      </c>
      <c r="DB47" s="1">
        <v>17157609</v>
      </c>
      <c r="DC47" s="1">
        <v>25094395</v>
      </c>
      <c r="DD47" s="1">
        <v>0</v>
      </c>
      <c r="DE47" s="1">
        <v>0</v>
      </c>
      <c r="DF47" s="1">
        <v>0</v>
      </c>
      <c r="DH47" s="6">
        <f t="shared" si="2"/>
        <v>1249227362.2</v>
      </c>
    </row>
    <row r="48" spans="1:112" x14ac:dyDescent="0.2">
      <c r="A48" s="5" t="s">
        <v>12</v>
      </c>
      <c r="B48" s="5" t="s">
        <v>42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>
        <v>11198825.709165845</v>
      </c>
      <c r="BX48" s="1">
        <v>10274791.347157599</v>
      </c>
      <c r="BY48" s="1">
        <v>15570667.55979407</v>
      </c>
      <c r="BZ48" s="1">
        <v>12603100.007660631</v>
      </c>
      <c r="CA48" s="1">
        <v>12747541.591390869</v>
      </c>
      <c r="CB48" s="1">
        <v>10489521.240105145</v>
      </c>
      <c r="CC48" s="1">
        <v>8202493.9800000004</v>
      </c>
      <c r="CD48" s="1">
        <v>8482924.5600000005</v>
      </c>
      <c r="CE48" s="1">
        <v>16772290.48</v>
      </c>
      <c r="CF48" s="1">
        <v>16969223.27</v>
      </c>
      <c r="CG48" s="1">
        <v>20145223.800000001</v>
      </c>
      <c r="CH48" s="1">
        <v>21473441.100000001</v>
      </c>
      <c r="CI48" s="1">
        <v>19557157.5</v>
      </c>
      <c r="CJ48" s="1">
        <v>15554308.5</v>
      </c>
      <c r="CK48" s="1">
        <v>18444477.600000001</v>
      </c>
      <c r="CL48" s="1">
        <v>15725766.6</v>
      </c>
      <c r="CM48" s="1">
        <v>15087784.5</v>
      </c>
      <c r="CN48" s="1">
        <v>12310533.9</v>
      </c>
      <c r="CO48" s="1">
        <v>11463362.1</v>
      </c>
      <c r="CP48" s="1">
        <v>13474597.5</v>
      </c>
      <c r="CQ48" s="1">
        <v>21273161.399999999</v>
      </c>
      <c r="CR48" s="1">
        <v>22373916.300000001</v>
      </c>
      <c r="CS48" s="1">
        <v>24211062.899999999</v>
      </c>
      <c r="CT48" s="1">
        <v>18906225.300000001</v>
      </c>
      <c r="CU48" s="1">
        <v>18333515.699999999</v>
      </c>
      <c r="CV48" s="1">
        <v>14642278.199999999</v>
      </c>
      <c r="CW48" s="1">
        <v>16415949.6</v>
      </c>
      <c r="CX48" s="1">
        <v>15133285.800000001</v>
      </c>
      <c r="CY48" s="1">
        <v>15662835</v>
      </c>
      <c r="CZ48" s="1">
        <v>15951887.1</v>
      </c>
      <c r="DA48" s="1">
        <v>16026327.9</v>
      </c>
      <c r="DB48" s="1">
        <v>13827186.9</v>
      </c>
      <c r="DC48" s="1">
        <v>19438329.600000001</v>
      </c>
      <c r="DD48" s="1">
        <v>0</v>
      </c>
      <c r="DE48" s="1">
        <v>0</v>
      </c>
      <c r="DF48" s="1">
        <v>0</v>
      </c>
      <c r="DH48" s="6">
        <f t="shared" si="2"/>
        <v>518743994.54527414</v>
      </c>
    </row>
    <row r="49" spans="1:112" x14ac:dyDescent="0.2">
      <c r="A49" s="5" t="s">
        <v>12</v>
      </c>
      <c r="B49" s="5" t="s">
        <v>43</v>
      </c>
      <c r="C49" s="1"/>
      <c r="D49" s="1"/>
      <c r="E49" s="1"/>
      <c r="F49" s="1"/>
      <c r="G49" s="1"/>
      <c r="H49" s="1">
        <f t="shared" ref="H49:BN49" si="23">H47-H48</f>
        <v>7003725</v>
      </c>
      <c r="I49" s="1">
        <f t="shared" si="23"/>
        <v>8214765</v>
      </c>
      <c r="J49" s="1">
        <f t="shared" si="23"/>
        <v>8018354</v>
      </c>
      <c r="K49" s="1">
        <f t="shared" si="23"/>
        <v>23257965</v>
      </c>
      <c r="L49" s="1">
        <f t="shared" si="23"/>
        <v>21231427</v>
      </c>
      <c r="M49" s="1">
        <f t="shared" si="23"/>
        <v>24206090</v>
      </c>
      <c r="N49" s="1">
        <f t="shared" si="23"/>
        <v>23419539</v>
      </c>
      <c r="O49" s="1">
        <f t="shared" si="23"/>
        <v>14130069</v>
      </c>
      <c r="P49" s="1">
        <f t="shared" si="23"/>
        <v>8709205</v>
      </c>
      <c r="Q49" s="1">
        <f t="shared" si="23"/>
        <v>10483128</v>
      </c>
      <c r="R49" s="1">
        <f t="shared" si="23"/>
        <v>6088183</v>
      </c>
      <c r="S49" s="1">
        <f t="shared" si="23"/>
        <v>5920766</v>
      </c>
      <c r="T49" s="1">
        <f t="shared" si="23"/>
        <v>6325464</v>
      </c>
      <c r="U49" s="1">
        <f t="shared" si="23"/>
        <v>3920974</v>
      </c>
      <c r="V49" s="1">
        <f t="shared" si="23"/>
        <v>4745747</v>
      </c>
      <c r="W49" s="1">
        <f t="shared" si="23"/>
        <v>18781406</v>
      </c>
      <c r="X49" s="1">
        <f t="shared" si="23"/>
        <v>16066023</v>
      </c>
      <c r="Y49" s="1">
        <f t="shared" si="23"/>
        <v>16850854</v>
      </c>
      <c r="Z49" s="1">
        <f t="shared" si="23"/>
        <v>20466561</v>
      </c>
      <c r="AA49" s="1">
        <f t="shared" si="23"/>
        <v>11187011</v>
      </c>
      <c r="AB49" s="1">
        <f t="shared" si="23"/>
        <v>7279650</v>
      </c>
      <c r="AC49" s="1">
        <f t="shared" si="23"/>
        <v>3877068</v>
      </c>
      <c r="AD49" s="1">
        <f t="shared" si="23"/>
        <v>0</v>
      </c>
      <c r="AE49" s="1">
        <f t="shared" si="23"/>
        <v>0</v>
      </c>
      <c r="AF49" s="1">
        <f t="shared" si="23"/>
        <v>0</v>
      </c>
      <c r="AG49" s="1">
        <f t="shared" si="23"/>
        <v>209282</v>
      </c>
      <c r="AH49" s="1">
        <f t="shared" si="23"/>
        <v>2957634</v>
      </c>
      <c r="AI49" s="1">
        <f t="shared" si="23"/>
        <v>12439302</v>
      </c>
      <c r="AJ49" s="1">
        <f t="shared" si="23"/>
        <v>17086034</v>
      </c>
      <c r="AK49" s="1">
        <f t="shared" si="23"/>
        <v>19510093</v>
      </c>
      <c r="AL49" s="1">
        <f t="shared" si="23"/>
        <v>15696681</v>
      </c>
      <c r="AM49" s="1">
        <f t="shared" si="23"/>
        <v>15649254</v>
      </c>
      <c r="AN49" s="1">
        <f t="shared" si="23"/>
        <v>7519710</v>
      </c>
      <c r="AO49" s="1">
        <f t="shared" si="23"/>
        <v>6666118</v>
      </c>
      <c r="AP49" s="1">
        <f t="shared" si="23"/>
        <v>5470520</v>
      </c>
      <c r="AQ49" s="1">
        <f t="shared" si="23"/>
        <v>7060911</v>
      </c>
      <c r="AR49" s="1">
        <f t="shared" si="23"/>
        <v>5958137</v>
      </c>
      <c r="AS49" s="1">
        <f t="shared" si="23"/>
        <v>3565441</v>
      </c>
      <c r="AT49" s="1">
        <f t="shared" si="23"/>
        <v>5251471</v>
      </c>
      <c r="AU49" s="1">
        <f t="shared" si="23"/>
        <v>13702755</v>
      </c>
      <c r="AV49" s="1">
        <f t="shared" si="23"/>
        <v>22238321</v>
      </c>
      <c r="AW49" s="1">
        <f t="shared" si="23"/>
        <v>15567067</v>
      </c>
      <c r="AX49" s="1">
        <f t="shared" si="23"/>
        <v>12638955</v>
      </c>
      <c r="AY49" s="1">
        <f t="shared" si="23"/>
        <v>12637103</v>
      </c>
      <c r="AZ49" s="1">
        <f t="shared" si="23"/>
        <v>5435407</v>
      </c>
      <c r="BA49" s="1">
        <f t="shared" si="23"/>
        <v>5157583</v>
      </c>
      <c r="BB49" s="1">
        <f t="shared" si="23"/>
        <v>4200298</v>
      </c>
      <c r="BC49" s="1">
        <f t="shared" si="23"/>
        <v>5127275</v>
      </c>
      <c r="BD49" s="1">
        <f t="shared" si="23"/>
        <v>3507846</v>
      </c>
      <c r="BE49" s="1">
        <f t="shared" si="23"/>
        <v>2678686</v>
      </c>
      <c r="BF49" s="1">
        <f t="shared" si="23"/>
        <v>2902652</v>
      </c>
      <c r="BG49" s="1">
        <f t="shared" si="23"/>
        <v>8948981</v>
      </c>
      <c r="BH49" s="1">
        <f t="shared" si="23"/>
        <v>13545163</v>
      </c>
      <c r="BI49" s="1">
        <f t="shared" si="23"/>
        <v>10172819</v>
      </c>
      <c r="BJ49" s="1">
        <f t="shared" si="23"/>
        <v>8157580</v>
      </c>
      <c r="BK49" s="1">
        <f t="shared" si="23"/>
        <v>8457660</v>
      </c>
      <c r="BL49" s="1">
        <f t="shared" si="23"/>
        <v>4120957</v>
      </c>
      <c r="BM49" s="1">
        <f t="shared" si="23"/>
        <v>3491183</v>
      </c>
      <c r="BN49" s="1">
        <f t="shared" si="23"/>
        <v>3450142</v>
      </c>
      <c r="BO49" s="1">
        <f>BO47-BO48</f>
        <v>2760829</v>
      </c>
      <c r="BP49" s="1">
        <f>BP47-BP48</f>
        <v>3128258</v>
      </c>
      <c r="BQ49" s="1">
        <f t="shared" ref="BQ49:CC49" si="24">BQ47-BQ48</f>
        <v>2256345</v>
      </c>
      <c r="BR49" s="1">
        <f t="shared" si="24"/>
        <v>2400532</v>
      </c>
      <c r="BS49" s="1">
        <f t="shared" si="24"/>
        <v>7633259</v>
      </c>
      <c r="BT49" s="1">
        <f t="shared" si="24"/>
        <v>10663362</v>
      </c>
      <c r="BU49" s="1">
        <f t="shared" si="24"/>
        <v>8126283</v>
      </c>
      <c r="BV49" s="1">
        <f t="shared" si="24"/>
        <v>8837999.1999999993</v>
      </c>
      <c r="BW49" s="1">
        <f t="shared" si="24"/>
        <v>5886373.2908341549</v>
      </c>
      <c r="BX49" s="1">
        <f t="shared" si="24"/>
        <v>3488449.6528424006</v>
      </c>
      <c r="BY49" s="1">
        <f t="shared" si="24"/>
        <v>3364857.4402059298</v>
      </c>
      <c r="BZ49" s="1">
        <f t="shared" si="24"/>
        <v>2919895.9923393689</v>
      </c>
      <c r="CA49" s="1">
        <f t="shared" si="24"/>
        <v>2360050.4086091314</v>
      </c>
      <c r="CB49" s="1">
        <f t="shared" si="24"/>
        <v>2569176.7598948553</v>
      </c>
      <c r="CC49" s="1">
        <f t="shared" si="24"/>
        <v>1724622.0199999996</v>
      </c>
      <c r="CD49" s="1">
        <f>CD47-CD48</f>
        <v>1776354.4399999995</v>
      </c>
      <c r="CE49" s="1">
        <f>CE47-CE48</f>
        <v>6470444.5199999996</v>
      </c>
      <c r="CF49" s="1">
        <f>CF47-CF48</f>
        <v>5981438.7300000004</v>
      </c>
      <c r="CG49" s="1">
        <f>CG47-CG48</f>
        <v>6244955.1999999993</v>
      </c>
      <c r="CH49" s="1">
        <f>CH47-CH48</f>
        <v>6971930.8999999985</v>
      </c>
      <c r="CI49" s="1">
        <f t="shared" ref="CI49:DF49" si="25">CI47-CI48</f>
        <v>4248549.5</v>
      </c>
      <c r="CJ49" s="1">
        <f t="shared" si="25"/>
        <v>2502411.5</v>
      </c>
      <c r="CK49" s="1">
        <f t="shared" si="25"/>
        <v>3141412.3999999985</v>
      </c>
      <c r="CL49" s="1">
        <f t="shared" si="25"/>
        <v>2487886.4000000004</v>
      </c>
      <c r="CM49" s="1">
        <f t="shared" si="25"/>
        <v>2372598.5</v>
      </c>
      <c r="CN49" s="1">
        <f t="shared" si="25"/>
        <v>2110748.0999999996</v>
      </c>
      <c r="CO49" s="1">
        <f t="shared" si="25"/>
        <v>1759884.9000000004</v>
      </c>
      <c r="CP49" s="1">
        <f t="shared" si="25"/>
        <v>2131227.5</v>
      </c>
      <c r="CQ49" s="1">
        <f t="shared" si="25"/>
        <v>6326189.6000000015</v>
      </c>
      <c r="CR49" s="1">
        <f t="shared" si="25"/>
        <v>6023399.6999999993</v>
      </c>
      <c r="CS49" s="1">
        <f t="shared" si="25"/>
        <v>7024239.1000000015</v>
      </c>
      <c r="CT49" s="1">
        <f t="shared" si="25"/>
        <v>4805671.6999999993</v>
      </c>
      <c r="CU49" s="1">
        <f t="shared" si="25"/>
        <v>3871693.3000000007</v>
      </c>
      <c r="CV49" s="1">
        <f t="shared" si="25"/>
        <v>2312026.8000000007</v>
      </c>
      <c r="CW49" s="1">
        <f t="shared" si="25"/>
        <v>2796522.4000000004</v>
      </c>
      <c r="CX49" s="1">
        <f t="shared" si="25"/>
        <v>2370919.1999999993</v>
      </c>
      <c r="CY49" s="1">
        <f t="shared" si="25"/>
        <v>2522508</v>
      </c>
      <c r="CZ49" s="1">
        <f t="shared" si="25"/>
        <v>2672683.9000000004</v>
      </c>
      <c r="DA49" s="1">
        <f t="shared" si="25"/>
        <v>3087896.0999999996</v>
      </c>
      <c r="DB49" s="1">
        <f t="shared" si="25"/>
        <v>3330422.0999999996</v>
      </c>
      <c r="DC49" s="1">
        <f t="shared" si="25"/>
        <v>5656065.3999999985</v>
      </c>
      <c r="DD49" s="1">
        <f t="shared" si="25"/>
        <v>0</v>
      </c>
      <c r="DE49" s="1">
        <f t="shared" si="25"/>
        <v>0</v>
      </c>
      <c r="DF49" s="1">
        <f t="shared" si="25"/>
        <v>0</v>
      </c>
      <c r="DH49" s="6">
        <f t="shared" si="2"/>
        <v>730483367.65472603</v>
      </c>
    </row>
    <row r="50" spans="1:112" x14ac:dyDescent="0.2">
      <c r="A50" s="5" t="s">
        <v>12</v>
      </c>
      <c r="B50" s="5" t="s">
        <v>5</v>
      </c>
      <c r="C50" s="1"/>
      <c r="D50" s="1"/>
      <c r="E50" s="1"/>
      <c r="F50" s="1"/>
      <c r="G50" s="1"/>
      <c r="H50" s="1">
        <v>1000247</v>
      </c>
      <c r="I50" s="1">
        <v>527140</v>
      </c>
      <c r="J50" s="1">
        <v>983051</v>
      </c>
      <c r="K50" s="1">
        <v>7807511</v>
      </c>
      <c r="L50" s="1">
        <v>2565956</v>
      </c>
      <c r="M50" s="1">
        <v>2505849</v>
      </c>
      <c r="N50" s="1">
        <v>5810006</v>
      </c>
      <c r="O50" s="1">
        <v>2687370</v>
      </c>
      <c r="P50" s="1">
        <v>-616941</v>
      </c>
      <c r="Q50" s="1">
        <v>1879046</v>
      </c>
      <c r="R50" s="1">
        <v>703739</v>
      </c>
      <c r="S50" s="1">
        <v>464333</v>
      </c>
      <c r="T50" s="1">
        <v>533378</v>
      </c>
      <c r="U50" s="1">
        <v>579897</v>
      </c>
      <c r="V50" s="1">
        <v>586057</v>
      </c>
      <c r="W50" s="1">
        <v>5979896</v>
      </c>
      <c r="X50" s="1">
        <v>4640776</v>
      </c>
      <c r="Y50" s="1">
        <v>4235147</v>
      </c>
      <c r="Z50" s="1">
        <v>4174861</v>
      </c>
      <c r="AA50" s="1">
        <v>2527313</v>
      </c>
      <c r="AB50" s="1">
        <v>-410665</v>
      </c>
      <c r="AC50" s="1">
        <v>653127</v>
      </c>
      <c r="AD50" s="1">
        <v>0</v>
      </c>
      <c r="AE50" s="1">
        <v>0</v>
      </c>
      <c r="AF50" s="1">
        <v>0</v>
      </c>
      <c r="AG50" s="1">
        <v>13845</v>
      </c>
      <c r="AH50" s="1">
        <v>419561</v>
      </c>
      <c r="AI50" s="1">
        <v>2803023</v>
      </c>
      <c r="AJ50" s="1">
        <v>4945187</v>
      </c>
      <c r="AK50" s="1">
        <v>8162861</v>
      </c>
      <c r="AL50" s="1">
        <v>4408081</v>
      </c>
      <c r="AM50" s="1">
        <v>3288405</v>
      </c>
      <c r="AN50" s="1">
        <v>679021</v>
      </c>
      <c r="AO50" s="1">
        <v>1104863</v>
      </c>
      <c r="AP50" s="1">
        <v>1023198</v>
      </c>
      <c r="AQ50" s="1">
        <v>775611</v>
      </c>
      <c r="AR50" s="1">
        <v>737985</v>
      </c>
      <c r="AS50" s="1">
        <v>600900</v>
      </c>
      <c r="AT50" s="1">
        <v>541369</v>
      </c>
      <c r="AU50" s="1">
        <v>4420661</v>
      </c>
      <c r="AV50" s="1">
        <v>4635199</v>
      </c>
      <c r="AW50" s="1">
        <v>6226325</v>
      </c>
      <c r="AX50" s="1">
        <v>-972382</v>
      </c>
      <c r="AY50" s="1">
        <v>2716346</v>
      </c>
      <c r="AZ50" s="1">
        <v>73298</v>
      </c>
      <c r="BA50" s="1">
        <v>632532</v>
      </c>
      <c r="BB50" s="1">
        <v>359242</v>
      </c>
      <c r="BC50" s="1">
        <v>566488</v>
      </c>
      <c r="BD50" s="1">
        <v>243164</v>
      </c>
      <c r="BE50" s="1">
        <v>438549</v>
      </c>
      <c r="BF50" s="1">
        <v>429732</v>
      </c>
      <c r="BG50" s="1">
        <v>3859442</v>
      </c>
      <c r="BH50" s="1">
        <v>3629919</v>
      </c>
      <c r="BI50" s="1">
        <v>2303197</v>
      </c>
      <c r="BJ50" s="1">
        <v>2065320</v>
      </c>
      <c r="BK50" s="1">
        <v>2325155.9999999995</v>
      </c>
      <c r="BL50" s="1">
        <v>373700.99999999988</v>
      </c>
      <c r="BM50" s="1">
        <v>626371.00000000012</v>
      </c>
      <c r="BN50" s="1">
        <v>454657.00000000017</v>
      </c>
      <c r="BO50" s="1">
        <v>314900.00000000017</v>
      </c>
      <c r="BP50" s="1">
        <v>123625</v>
      </c>
      <c r="BQ50" s="1">
        <v>378415.94999999995</v>
      </c>
      <c r="BR50" s="1">
        <v>426015.00000000006</v>
      </c>
      <c r="BS50" s="1">
        <v>1544761</v>
      </c>
      <c r="BT50" s="1">
        <v>3828073</v>
      </c>
      <c r="BU50" s="1">
        <v>1101041</v>
      </c>
      <c r="BV50" s="1">
        <v>3042679.3499999996</v>
      </c>
      <c r="BW50" s="1">
        <v>2862311.9999999991</v>
      </c>
      <c r="BX50" s="1">
        <v>1036444.000000001</v>
      </c>
      <c r="BY50" s="1">
        <v>1660438.0000000007</v>
      </c>
      <c r="BZ50" s="1">
        <v>1694761.9999999995</v>
      </c>
      <c r="CA50" s="1">
        <v>1754361.0000000005</v>
      </c>
      <c r="CB50" s="1">
        <v>1369322.0000000007</v>
      </c>
      <c r="CC50" s="1">
        <v>1728403.0000000005</v>
      </c>
      <c r="CD50" s="1">
        <v>1146051.9999999993</v>
      </c>
      <c r="CE50" s="1">
        <v>4676638</v>
      </c>
      <c r="CF50" s="1">
        <v>1411263.0000000014</v>
      </c>
      <c r="CG50" s="1">
        <v>4378344.0000000019</v>
      </c>
      <c r="CH50" s="1">
        <v>592292.00000000105</v>
      </c>
      <c r="CI50" s="1">
        <v>2958321.0000000019</v>
      </c>
      <c r="CJ50" s="1">
        <v>1218199.9999999991</v>
      </c>
      <c r="CK50" s="1">
        <v>1540252.0000000002</v>
      </c>
      <c r="CL50" s="1">
        <v>2041825.0000000005</v>
      </c>
      <c r="CM50" s="1">
        <v>1933199.0000000005</v>
      </c>
      <c r="CN50" s="1">
        <v>2376235.9999999995</v>
      </c>
      <c r="CO50" s="1">
        <v>1886618</v>
      </c>
      <c r="CP50" s="1">
        <v>1514420.0000000005</v>
      </c>
      <c r="CQ50" s="1">
        <v>3267074.0000000009</v>
      </c>
      <c r="CR50" s="1">
        <v>3935711.9999999991</v>
      </c>
      <c r="CS50" s="1">
        <v>6630189.0000000009</v>
      </c>
      <c r="CT50" s="1">
        <v>4867306.9999999991</v>
      </c>
      <c r="CU50" s="1">
        <v>3536641.0000000009</v>
      </c>
      <c r="CV50" s="1">
        <v>2221520.9999999991</v>
      </c>
      <c r="CW50" s="1">
        <v>2645293.9999999995</v>
      </c>
      <c r="CX50" s="1">
        <v>2512292.9999999995</v>
      </c>
      <c r="CY50" s="1">
        <v>2028986.9999999995</v>
      </c>
      <c r="CZ50" s="1">
        <v>2062055.9999999995</v>
      </c>
      <c r="DA50" s="1">
        <v>2455011.9999999995</v>
      </c>
      <c r="DB50" s="1">
        <v>2151650</v>
      </c>
      <c r="DC50" s="1">
        <v>4352234</v>
      </c>
      <c r="DD50" s="1">
        <v>0</v>
      </c>
      <c r="DE50" s="1">
        <v>0</v>
      </c>
      <c r="DF50" s="1">
        <v>0</v>
      </c>
      <c r="DH50" s="6">
        <f t="shared" si="2"/>
        <v>207933103.30000001</v>
      </c>
    </row>
    <row r="51" spans="1:112" x14ac:dyDescent="0.2">
      <c r="A51" s="5" t="s">
        <v>12</v>
      </c>
      <c r="B51" s="5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>
        <v>1440166.3253868367</v>
      </c>
      <c r="BX51" s="1">
        <v>909356.76903934835</v>
      </c>
      <c r="BY51" s="1">
        <v>1307747.793289328</v>
      </c>
      <c r="BZ51" s="1">
        <v>1298851.9189515235</v>
      </c>
      <c r="CA51" s="1">
        <v>1466587.6755591196</v>
      </c>
      <c r="CB51" s="1">
        <v>1051805.8477760016</v>
      </c>
      <c r="CC51" s="1">
        <v>1365344.6500000004</v>
      </c>
      <c r="CD51" s="1">
        <v>927286.50666666613</v>
      </c>
      <c r="CE51" s="1">
        <v>2568677.1733333338</v>
      </c>
      <c r="CF51" s="1">
        <v>1485229.9233333345</v>
      </c>
      <c r="CG51" s="1">
        <v>2637866.4000000013</v>
      </c>
      <c r="CH51" s="1">
        <v>804775.20000000123</v>
      </c>
      <c r="CI51" s="1">
        <v>2280822.9000000013</v>
      </c>
      <c r="CJ51" s="1">
        <v>1078288.7999999993</v>
      </c>
      <c r="CK51" s="1">
        <v>1225710.0000000002</v>
      </c>
      <c r="CL51" s="1">
        <v>1715240.1000000003</v>
      </c>
      <c r="CM51" s="1">
        <v>1637892.3000000005</v>
      </c>
      <c r="CN51" s="1">
        <v>1990129.1999999995</v>
      </c>
      <c r="CO51" s="1">
        <v>1561113</v>
      </c>
      <c r="CP51" s="1">
        <v>1276629.6000000006</v>
      </c>
      <c r="CQ51" s="1">
        <v>1637403.0000000009</v>
      </c>
      <c r="CR51" s="1">
        <v>2494905.5999999992</v>
      </c>
      <c r="CS51" s="1">
        <v>4282251.3</v>
      </c>
      <c r="CT51" s="1">
        <v>3081949.4999999991</v>
      </c>
      <c r="CU51" s="1">
        <v>2598436.5000000009</v>
      </c>
      <c r="CV51" s="1">
        <v>1890503.6999999993</v>
      </c>
      <c r="CW51" s="1">
        <v>2125312.1999999997</v>
      </c>
      <c r="CX51" s="1">
        <v>2147986.4999999995</v>
      </c>
      <c r="CY51" s="1">
        <v>1704338.6999999995</v>
      </c>
      <c r="CZ51" s="1">
        <v>1736617.1999999995</v>
      </c>
      <c r="DA51" s="1">
        <v>2015437.1999999997</v>
      </c>
      <c r="DB51" s="1">
        <v>1640626.2</v>
      </c>
      <c r="DC51" s="1">
        <v>2704858.2</v>
      </c>
      <c r="DD51" s="1">
        <v>0</v>
      </c>
      <c r="DE51" s="1">
        <v>0</v>
      </c>
      <c r="DF51" s="1">
        <v>0</v>
      </c>
      <c r="DH51" s="6">
        <f t="shared" si="2"/>
        <v>60090147.883335516</v>
      </c>
    </row>
    <row r="52" spans="1:112" x14ac:dyDescent="0.2">
      <c r="A52" s="5" t="s">
        <v>12</v>
      </c>
      <c r="B52" s="5" t="s">
        <v>45</v>
      </c>
      <c r="C52" s="1"/>
      <c r="D52" s="1"/>
      <c r="E52" s="1"/>
      <c r="F52" s="1"/>
      <c r="G52" s="1"/>
      <c r="H52" s="1">
        <f t="shared" ref="H52:BN52" si="26">H50-H51</f>
        <v>1000247</v>
      </c>
      <c r="I52" s="1">
        <f t="shared" si="26"/>
        <v>527140</v>
      </c>
      <c r="J52" s="1">
        <f t="shared" si="26"/>
        <v>983051</v>
      </c>
      <c r="K52" s="1">
        <f t="shared" si="26"/>
        <v>7807511</v>
      </c>
      <c r="L52" s="1">
        <f t="shared" si="26"/>
        <v>2565956</v>
      </c>
      <c r="M52" s="1">
        <f t="shared" si="26"/>
        <v>2505849</v>
      </c>
      <c r="N52" s="1">
        <f t="shared" si="26"/>
        <v>5810006</v>
      </c>
      <c r="O52" s="1">
        <f t="shared" si="26"/>
        <v>2687370</v>
      </c>
      <c r="P52" s="1">
        <f t="shared" si="26"/>
        <v>-616941</v>
      </c>
      <c r="Q52" s="1">
        <f t="shared" si="26"/>
        <v>1879046</v>
      </c>
      <c r="R52" s="1">
        <f t="shared" si="26"/>
        <v>703739</v>
      </c>
      <c r="S52" s="1">
        <f t="shared" si="26"/>
        <v>464333</v>
      </c>
      <c r="T52" s="1">
        <f t="shared" si="26"/>
        <v>533378</v>
      </c>
      <c r="U52" s="1">
        <f t="shared" si="26"/>
        <v>579897</v>
      </c>
      <c r="V52" s="1">
        <f t="shared" si="26"/>
        <v>586057</v>
      </c>
      <c r="W52" s="1">
        <f t="shared" si="26"/>
        <v>5979896</v>
      </c>
      <c r="X52" s="1">
        <f t="shared" si="26"/>
        <v>4640776</v>
      </c>
      <c r="Y52" s="1">
        <f t="shared" si="26"/>
        <v>4235147</v>
      </c>
      <c r="Z52" s="1">
        <f t="shared" si="26"/>
        <v>4174861</v>
      </c>
      <c r="AA52" s="1">
        <f t="shared" si="26"/>
        <v>2527313</v>
      </c>
      <c r="AB52" s="1">
        <f t="shared" si="26"/>
        <v>-410665</v>
      </c>
      <c r="AC52" s="1">
        <f t="shared" si="26"/>
        <v>653127</v>
      </c>
      <c r="AD52" s="1">
        <f t="shared" si="26"/>
        <v>0</v>
      </c>
      <c r="AE52" s="1">
        <f t="shared" si="26"/>
        <v>0</v>
      </c>
      <c r="AF52" s="1">
        <f t="shared" si="26"/>
        <v>0</v>
      </c>
      <c r="AG52" s="1">
        <f t="shared" si="26"/>
        <v>13845</v>
      </c>
      <c r="AH52" s="1">
        <f t="shared" si="26"/>
        <v>419561</v>
      </c>
      <c r="AI52" s="1">
        <f t="shared" si="26"/>
        <v>2803023</v>
      </c>
      <c r="AJ52" s="1">
        <f t="shared" si="26"/>
        <v>4945187</v>
      </c>
      <c r="AK52" s="1">
        <f t="shared" si="26"/>
        <v>8162861</v>
      </c>
      <c r="AL52" s="1">
        <f t="shared" si="26"/>
        <v>4408081</v>
      </c>
      <c r="AM52" s="1">
        <f t="shared" si="26"/>
        <v>3288405</v>
      </c>
      <c r="AN52" s="1">
        <f t="shared" si="26"/>
        <v>679021</v>
      </c>
      <c r="AO52" s="1">
        <f t="shared" si="26"/>
        <v>1104863</v>
      </c>
      <c r="AP52" s="1">
        <f t="shared" si="26"/>
        <v>1023198</v>
      </c>
      <c r="AQ52" s="1">
        <f t="shared" si="26"/>
        <v>775611</v>
      </c>
      <c r="AR52" s="1">
        <f t="shared" si="26"/>
        <v>737985</v>
      </c>
      <c r="AS52" s="1">
        <f t="shared" si="26"/>
        <v>600900</v>
      </c>
      <c r="AT52" s="1">
        <f t="shared" si="26"/>
        <v>541369</v>
      </c>
      <c r="AU52" s="1">
        <f t="shared" si="26"/>
        <v>4420661</v>
      </c>
      <c r="AV52" s="1">
        <f t="shared" si="26"/>
        <v>4635199</v>
      </c>
      <c r="AW52" s="1">
        <f t="shared" si="26"/>
        <v>6226325</v>
      </c>
      <c r="AX52" s="1">
        <f t="shared" si="26"/>
        <v>-972382</v>
      </c>
      <c r="AY52" s="1">
        <f t="shared" si="26"/>
        <v>2716346</v>
      </c>
      <c r="AZ52" s="1">
        <f t="shared" si="26"/>
        <v>73298</v>
      </c>
      <c r="BA52" s="1">
        <f t="shared" si="26"/>
        <v>632532</v>
      </c>
      <c r="BB52" s="1">
        <f t="shared" si="26"/>
        <v>359242</v>
      </c>
      <c r="BC52" s="1">
        <f t="shared" si="26"/>
        <v>566488</v>
      </c>
      <c r="BD52" s="1">
        <f t="shared" si="26"/>
        <v>243164</v>
      </c>
      <c r="BE52" s="1">
        <f t="shared" si="26"/>
        <v>438549</v>
      </c>
      <c r="BF52" s="1">
        <f t="shared" si="26"/>
        <v>429732</v>
      </c>
      <c r="BG52" s="1">
        <f t="shared" si="26"/>
        <v>3859442</v>
      </c>
      <c r="BH52" s="1">
        <f t="shared" si="26"/>
        <v>3629919</v>
      </c>
      <c r="BI52" s="1">
        <f t="shared" si="26"/>
        <v>2303197</v>
      </c>
      <c r="BJ52" s="1">
        <f t="shared" si="26"/>
        <v>2065320</v>
      </c>
      <c r="BK52" s="1">
        <f t="shared" si="26"/>
        <v>2325155.9999999995</v>
      </c>
      <c r="BL52" s="1">
        <f t="shared" si="26"/>
        <v>373700.99999999988</v>
      </c>
      <c r="BM52" s="1">
        <f t="shared" si="26"/>
        <v>626371.00000000012</v>
      </c>
      <c r="BN52" s="1">
        <f t="shared" si="26"/>
        <v>454657.00000000017</v>
      </c>
      <c r="BO52" s="1">
        <f>BO50-BO51</f>
        <v>314900.00000000017</v>
      </c>
      <c r="BP52" s="1">
        <f>BP50-BP51</f>
        <v>123625</v>
      </c>
      <c r="BQ52" s="1">
        <f t="shared" ref="BQ52:CC52" si="27">BQ50-BQ51</f>
        <v>378415.94999999995</v>
      </c>
      <c r="BR52" s="1">
        <f t="shared" si="27"/>
        <v>426015.00000000006</v>
      </c>
      <c r="BS52" s="1">
        <f t="shared" si="27"/>
        <v>1544761</v>
      </c>
      <c r="BT52" s="1">
        <f t="shared" si="27"/>
        <v>3828073</v>
      </c>
      <c r="BU52" s="1">
        <f t="shared" si="27"/>
        <v>1101041</v>
      </c>
      <c r="BV52" s="1">
        <f t="shared" si="27"/>
        <v>3042679.3499999996</v>
      </c>
      <c r="BW52" s="1">
        <f t="shared" si="27"/>
        <v>1422145.6746131624</v>
      </c>
      <c r="BX52" s="1">
        <f t="shared" si="27"/>
        <v>127087.2309606527</v>
      </c>
      <c r="BY52" s="1">
        <f t="shared" si="27"/>
        <v>352690.2067106727</v>
      </c>
      <c r="BZ52" s="1">
        <f t="shared" si="27"/>
        <v>395910.08104847604</v>
      </c>
      <c r="CA52" s="1">
        <f t="shared" si="27"/>
        <v>287773.32444088091</v>
      </c>
      <c r="CB52" s="1">
        <f t="shared" si="27"/>
        <v>317516.15222399915</v>
      </c>
      <c r="CC52" s="1">
        <f t="shared" si="27"/>
        <v>363058.35000000009</v>
      </c>
      <c r="CD52" s="1">
        <f>CD50-CD51</f>
        <v>218765.49333333317</v>
      </c>
      <c r="CE52" s="1">
        <f>CE50-CE51</f>
        <v>2107960.8266666662</v>
      </c>
      <c r="CF52" s="1">
        <f>CF50-CF51</f>
        <v>-73966.923333333107</v>
      </c>
      <c r="CG52" s="1">
        <f>CG50-CG51</f>
        <v>1740477.6000000006</v>
      </c>
      <c r="CH52" s="1">
        <f>CH50-CH51</f>
        <v>-212483.20000000019</v>
      </c>
      <c r="CI52" s="1">
        <f t="shared" ref="CI52:DF52" si="28">CI50-CI51</f>
        <v>677498.10000000056</v>
      </c>
      <c r="CJ52" s="1">
        <f t="shared" si="28"/>
        <v>139911.19999999972</v>
      </c>
      <c r="CK52" s="1">
        <f t="shared" si="28"/>
        <v>314542</v>
      </c>
      <c r="CL52" s="1">
        <f t="shared" si="28"/>
        <v>326584.90000000014</v>
      </c>
      <c r="CM52" s="1">
        <f t="shared" si="28"/>
        <v>295306.69999999995</v>
      </c>
      <c r="CN52" s="1">
        <f t="shared" si="28"/>
        <v>386106.80000000005</v>
      </c>
      <c r="CO52" s="1">
        <f t="shared" si="28"/>
        <v>325505</v>
      </c>
      <c r="CP52" s="1">
        <f t="shared" si="28"/>
        <v>237790.39999999991</v>
      </c>
      <c r="CQ52" s="1">
        <f t="shared" si="28"/>
        <v>1629671</v>
      </c>
      <c r="CR52" s="1">
        <f t="shared" si="28"/>
        <v>1440806.4</v>
      </c>
      <c r="CS52" s="1">
        <f t="shared" si="28"/>
        <v>2347937.7000000011</v>
      </c>
      <c r="CT52" s="1">
        <f t="shared" si="28"/>
        <v>1785357.5</v>
      </c>
      <c r="CU52" s="1">
        <f t="shared" si="28"/>
        <v>938204.5</v>
      </c>
      <c r="CV52" s="1">
        <f t="shared" si="28"/>
        <v>331017.29999999981</v>
      </c>
      <c r="CW52" s="1">
        <f t="shared" si="28"/>
        <v>519981.79999999981</v>
      </c>
      <c r="CX52" s="1">
        <f t="shared" si="28"/>
        <v>364306.5</v>
      </c>
      <c r="CY52" s="1">
        <f t="shared" si="28"/>
        <v>324648.30000000005</v>
      </c>
      <c r="CZ52" s="1">
        <f t="shared" si="28"/>
        <v>325438.80000000005</v>
      </c>
      <c r="DA52" s="1">
        <f t="shared" si="28"/>
        <v>439574.79999999981</v>
      </c>
      <c r="DB52" s="1">
        <f t="shared" si="28"/>
        <v>511023.80000000005</v>
      </c>
      <c r="DC52" s="1">
        <f t="shared" si="28"/>
        <v>1647375.7999999998</v>
      </c>
      <c r="DD52" s="1">
        <f t="shared" si="28"/>
        <v>0</v>
      </c>
      <c r="DE52" s="1">
        <f t="shared" si="28"/>
        <v>0</v>
      </c>
      <c r="DF52" s="1">
        <f t="shared" si="28"/>
        <v>0</v>
      </c>
      <c r="DH52" s="6">
        <f t="shared" si="2"/>
        <v>147842955.4166646</v>
      </c>
    </row>
    <row r="53" spans="1:112" x14ac:dyDescent="0.2">
      <c r="A53" s="5" t="s">
        <v>12</v>
      </c>
      <c r="B53" s="5" t="s">
        <v>6</v>
      </c>
      <c r="C53" s="1"/>
      <c r="D53" s="1"/>
      <c r="E53" s="1"/>
      <c r="F53" s="1"/>
      <c r="G53" s="1"/>
      <c r="H53" s="1">
        <v>875216</v>
      </c>
      <c r="I53" s="1">
        <v>461247</v>
      </c>
      <c r="J53" s="1">
        <v>822736</v>
      </c>
      <c r="K53" s="1">
        <v>5971960</v>
      </c>
      <c r="L53" s="1">
        <v>1640592</v>
      </c>
      <c r="M53" s="1">
        <v>1608339</v>
      </c>
      <c r="N53" s="1">
        <v>4272220</v>
      </c>
      <c r="O53" s="1">
        <v>2094840</v>
      </c>
      <c r="P53" s="1">
        <v>-475772</v>
      </c>
      <c r="Q53" s="1">
        <v>1643044</v>
      </c>
      <c r="R53" s="1">
        <v>614839</v>
      </c>
      <c r="S53" s="1">
        <v>405293</v>
      </c>
      <c r="T53" s="1">
        <v>466019</v>
      </c>
      <c r="U53" s="1">
        <v>507199</v>
      </c>
      <c r="V53" s="1">
        <v>493106</v>
      </c>
      <c r="W53" s="1">
        <v>4425641</v>
      </c>
      <c r="X53" s="1">
        <v>3388776</v>
      </c>
      <c r="Y53" s="1">
        <v>3014647</v>
      </c>
      <c r="Z53" s="1">
        <v>2972117</v>
      </c>
      <c r="AA53" s="1">
        <v>1995981</v>
      </c>
      <c r="AB53" s="1">
        <v>-303119</v>
      </c>
      <c r="AC53" s="1">
        <v>572530</v>
      </c>
      <c r="AD53" s="1">
        <v>-104</v>
      </c>
      <c r="AE53" s="1">
        <v>-15</v>
      </c>
      <c r="AF53" s="1">
        <v>-33</v>
      </c>
      <c r="AG53" s="1">
        <v>11862</v>
      </c>
      <c r="AH53" s="1">
        <v>366323</v>
      </c>
      <c r="AI53" s="1">
        <v>1958567</v>
      </c>
      <c r="AJ53" s="1">
        <v>3483045</v>
      </c>
      <c r="AK53" s="1">
        <v>5901514</v>
      </c>
      <c r="AL53" s="1">
        <v>3097116</v>
      </c>
      <c r="AM53" s="1">
        <v>2491097</v>
      </c>
      <c r="AN53" s="1">
        <v>595680</v>
      </c>
      <c r="AO53" s="1">
        <v>965422</v>
      </c>
      <c r="AP53" s="1">
        <v>894230</v>
      </c>
      <c r="AQ53" s="1">
        <v>677441</v>
      </c>
      <c r="AR53" s="1">
        <v>644367</v>
      </c>
      <c r="AS53" s="1">
        <v>524702</v>
      </c>
      <c r="AT53" s="1">
        <v>453422</v>
      </c>
      <c r="AU53" s="1">
        <v>3202534</v>
      </c>
      <c r="AV53" s="1">
        <v>3102693</v>
      </c>
      <c r="AW53" s="1">
        <v>4567121</v>
      </c>
      <c r="AX53" s="1">
        <v>-969519</v>
      </c>
      <c r="AY53" s="1">
        <v>1914286</v>
      </c>
      <c r="AZ53" s="1">
        <v>54282</v>
      </c>
      <c r="BA53" s="1">
        <v>552034</v>
      </c>
      <c r="BB53" s="1">
        <v>313267</v>
      </c>
      <c r="BC53" s="1">
        <v>494698</v>
      </c>
      <c r="BD53" s="1">
        <v>211922</v>
      </c>
      <c r="BE53" s="1">
        <v>383250</v>
      </c>
      <c r="BF53" s="1">
        <v>354444</v>
      </c>
      <c r="BG53" s="1">
        <v>2785651</v>
      </c>
      <c r="BH53" s="1">
        <v>2463047</v>
      </c>
      <c r="BI53" s="1">
        <v>1530355</v>
      </c>
      <c r="BJ53" s="1">
        <v>1367379</v>
      </c>
      <c r="BK53" s="1">
        <v>1642632.9999999995</v>
      </c>
      <c r="BL53" s="1">
        <v>306573.99999999983</v>
      </c>
      <c r="BM53" s="1">
        <v>544386.00000000012</v>
      </c>
      <c r="BN53" s="1">
        <v>374567.00000000017</v>
      </c>
      <c r="BO53" s="1">
        <v>245474.00000000017</v>
      </c>
      <c r="BP53" s="1">
        <v>71029</v>
      </c>
      <c r="BQ53" s="1">
        <v>283024.94999999995</v>
      </c>
      <c r="BR53" s="1">
        <v>311175.00000000006</v>
      </c>
      <c r="BS53" s="1">
        <v>958547</v>
      </c>
      <c r="BT53" s="1">
        <v>2617553</v>
      </c>
      <c r="BU53" s="1">
        <v>576800</v>
      </c>
      <c r="BV53" s="1">
        <v>2072087.2599999998</v>
      </c>
      <c r="BW53" s="1">
        <v>1786895.9999999995</v>
      </c>
      <c r="BX53" s="1">
        <v>560452.00000000093</v>
      </c>
      <c r="BY53" s="1">
        <v>1030007.0000000006</v>
      </c>
      <c r="BZ53" s="1">
        <v>1014907.9999999994</v>
      </c>
      <c r="CA53" s="1">
        <v>1055107.0000000005</v>
      </c>
      <c r="CB53" s="1">
        <v>800784.00000000058</v>
      </c>
      <c r="CC53" s="1">
        <v>1074428.0000000002</v>
      </c>
      <c r="CD53" s="1">
        <v>702077.9999999993</v>
      </c>
      <c r="CE53" s="1">
        <v>2965228.0000000005</v>
      </c>
      <c r="CF53" s="1">
        <v>588352.0000000014</v>
      </c>
      <c r="CG53" s="1">
        <v>2676921.0000000014</v>
      </c>
      <c r="CH53" s="1">
        <v>41169.000000000931</v>
      </c>
      <c r="CI53" s="1">
        <v>1726705.0000000016</v>
      </c>
      <c r="CJ53" s="1">
        <v>631665.9999999993</v>
      </c>
      <c r="CK53" s="1">
        <v>912896</v>
      </c>
      <c r="CL53" s="1">
        <v>1220506.0000000005</v>
      </c>
      <c r="CM53" s="1">
        <v>1150289.0000000005</v>
      </c>
      <c r="CN53" s="1">
        <v>1433043.9999999995</v>
      </c>
      <c r="CO53" s="1">
        <v>1138138</v>
      </c>
      <c r="CP53" s="1">
        <v>905182.00000000058</v>
      </c>
      <c r="CQ53" s="1">
        <v>2053520.0000000014</v>
      </c>
      <c r="CR53" s="1">
        <v>2370602.9999999986</v>
      </c>
      <c r="CS53" s="1">
        <v>4074465.0000000009</v>
      </c>
      <c r="CT53" s="1">
        <v>3037747.9999999991</v>
      </c>
      <c r="CU53" s="1">
        <v>2138721.0000000009</v>
      </c>
      <c r="CV53" s="1">
        <v>1311520.9999999993</v>
      </c>
      <c r="CW53" s="1">
        <v>1590683</v>
      </c>
      <c r="CX53" s="1">
        <v>1503676.9999999995</v>
      </c>
      <c r="CY53" s="1">
        <v>1191377.9999999995</v>
      </c>
      <c r="CZ53" s="1">
        <v>1250394.9999999995</v>
      </c>
      <c r="DA53" s="1">
        <v>1426723.9999999993</v>
      </c>
      <c r="DB53" s="1">
        <v>1283525</v>
      </c>
      <c r="DC53" s="1">
        <v>2673973</v>
      </c>
      <c r="DD53" s="1">
        <v>0</v>
      </c>
      <c r="DE53" s="1">
        <v>0</v>
      </c>
      <c r="DF53" s="1">
        <v>0</v>
      </c>
      <c r="DH53" s="6">
        <f t="shared" si="2"/>
        <v>141185070.21000001</v>
      </c>
    </row>
    <row r="54" spans="1:112" x14ac:dyDescent="0.2">
      <c r="A54" s="5" t="s">
        <v>12</v>
      </c>
      <c r="B54" s="5" t="s">
        <v>7</v>
      </c>
      <c r="C54" s="1"/>
      <c r="D54" s="1"/>
      <c r="E54" s="1"/>
      <c r="F54" s="1"/>
      <c r="G54" s="1"/>
      <c r="H54" s="1">
        <v>437609</v>
      </c>
      <c r="I54" s="1">
        <v>230614</v>
      </c>
      <c r="J54" s="1">
        <v>457984</v>
      </c>
      <c r="K54" s="1">
        <v>4118974</v>
      </c>
      <c r="L54" s="1">
        <v>1299481</v>
      </c>
      <c r="M54" s="1">
        <v>998477</v>
      </c>
      <c r="N54" s="1">
        <v>2989388</v>
      </c>
      <c r="O54" s="1">
        <v>1311323</v>
      </c>
      <c r="P54" s="1">
        <v>-438047</v>
      </c>
      <c r="Q54" s="1">
        <v>821072</v>
      </c>
      <c r="R54" s="1">
        <v>307046</v>
      </c>
      <c r="S54" s="1">
        <v>202247</v>
      </c>
      <c r="T54" s="1">
        <v>232733</v>
      </c>
      <c r="U54" s="1">
        <v>253516</v>
      </c>
      <c r="V54" s="1">
        <v>241770</v>
      </c>
      <c r="W54" s="1">
        <v>3123828</v>
      </c>
      <c r="X54" s="1">
        <v>2358625</v>
      </c>
      <c r="Y54" s="1">
        <v>2167507</v>
      </c>
      <c r="Z54" s="1">
        <v>2032440</v>
      </c>
      <c r="AA54" s="1">
        <v>1190481</v>
      </c>
      <c r="AB54" s="1">
        <v>-337668</v>
      </c>
      <c r="AC54" s="1">
        <v>284802</v>
      </c>
      <c r="AD54" s="1">
        <v>-94</v>
      </c>
      <c r="AE54" s="1">
        <v>-14</v>
      </c>
      <c r="AF54" s="1">
        <v>-30</v>
      </c>
      <c r="AG54" s="1">
        <v>5831</v>
      </c>
      <c r="AH54" s="1">
        <v>182844</v>
      </c>
      <c r="AI54" s="1">
        <v>1402669</v>
      </c>
      <c r="AJ54" s="1">
        <v>2534638</v>
      </c>
      <c r="AK54" s="1">
        <v>4437584</v>
      </c>
      <c r="AL54" s="1">
        <v>2341189</v>
      </c>
      <c r="AM54" s="1">
        <v>1553487</v>
      </c>
      <c r="AN54" s="1">
        <v>254200</v>
      </c>
      <c r="AO54" s="1">
        <v>482174</v>
      </c>
      <c r="AP54" s="1">
        <v>446688</v>
      </c>
      <c r="AQ54" s="1">
        <v>338232</v>
      </c>
      <c r="AR54" s="1">
        <v>321634</v>
      </c>
      <c r="AS54" s="1">
        <v>316107</v>
      </c>
      <c r="AT54" s="1">
        <v>224174</v>
      </c>
      <c r="AU54" s="1">
        <v>2341630</v>
      </c>
      <c r="AV54" s="1">
        <v>2319322</v>
      </c>
      <c r="AW54" s="1">
        <v>3391917</v>
      </c>
      <c r="AX54" s="1">
        <v>-992897</v>
      </c>
      <c r="AY54" s="1">
        <v>1418276</v>
      </c>
      <c r="AZ54" s="1">
        <v>9544</v>
      </c>
      <c r="BA54" s="1">
        <v>275442</v>
      </c>
      <c r="BB54" s="1">
        <v>156204</v>
      </c>
      <c r="BC54" s="1">
        <v>246955</v>
      </c>
      <c r="BD54" s="1">
        <v>105622</v>
      </c>
      <c r="BE54" s="1">
        <v>191432</v>
      </c>
      <c r="BF54" s="1">
        <v>191634</v>
      </c>
      <c r="BG54" s="1">
        <v>2144155</v>
      </c>
      <c r="BH54" s="1">
        <v>1841226</v>
      </c>
      <c r="BI54" s="1">
        <v>1119178</v>
      </c>
      <c r="BJ54" s="1">
        <v>1061320</v>
      </c>
      <c r="BK54" s="1">
        <v>1279260</v>
      </c>
      <c r="BL54" s="1">
        <v>160247</v>
      </c>
      <c r="BM54" s="1">
        <v>271825</v>
      </c>
      <c r="BN54" s="1">
        <v>202968</v>
      </c>
      <c r="BO54" s="1">
        <v>135164</v>
      </c>
      <c r="BP54" s="1">
        <v>38249</v>
      </c>
      <c r="BQ54" s="1">
        <v>176075</v>
      </c>
      <c r="BR54" s="1">
        <v>198904</v>
      </c>
      <c r="BS54" s="1">
        <v>770468</v>
      </c>
      <c r="BT54" s="1">
        <v>2110089</v>
      </c>
      <c r="BU54" s="1">
        <v>452162</v>
      </c>
      <c r="BV54" s="1">
        <v>1654944.5</v>
      </c>
      <c r="BW54" s="1">
        <v>1131369</v>
      </c>
      <c r="BX54" s="1">
        <v>228244</v>
      </c>
      <c r="BY54" s="1">
        <v>538392</v>
      </c>
      <c r="BZ54" s="1">
        <v>541989</v>
      </c>
      <c r="CA54" s="1">
        <v>540901</v>
      </c>
      <c r="CB54" s="1">
        <v>423998</v>
      </c>
      <c r="CC54" s="1">
        <v>573949</v>
      </c>
      <c r="CD54" s="1">
        <v>364709</v>
      </c>
      <c r="CE54" s="1">
        <v>1922215</v>
      </c>
      <c r="CF54" s="1">
        <v>127913</v>
      </c>
      <c r="CG54" s="1">
        <v>1686203</v>
      </c>
      <c r="CH54" s="1">
        <v>-174859</v>
      </c>
      <c r="CI54" s="1">
        <v>944288</v>
      </c>
      <c r="CJ54" s="1">
        <v>303445</v>
      </c>
      <c r="CK54" s="1">
        <v>485019</v>
      </c>
      <c r="CL54" s="1">
        <v>634324</v>
      </c>
      <c r="CM54" s="1">
        <v>593382</v>
      </c>
      <c r="CN54" s="1">
        <v>749444</v>
      </c>
      <c r="CO54" s="1">
        <v>603935</v>
      </c>
      <c r="CP54" s="1">
        <v>467008</v>
      </c>
      <c r="CQ54" s="1">
        <v>1376640</v>
      </c>
      <c r="CR54" s="1">
        <v>1457868</v>
      </c>
      <c r="CS54" s="1">
        <v>2506520</v>
      </c>
      <c r="CT54" s="1">
        <v>1894860</v>
      </c>
      <c r="CU54" s="1">
        <v>1224101</v>
      </c>
      <c r="CV54" s="1">
        <v>676325</v>
      </c>
      <c r="CW54" s="1">
        <v>858850</v>
      </c>
      <c r="CX54" s="1">
        <v>774031</v>
      </c>
      <c r="CY54" s="1">
        <v>618572</v>
      </c>
      <c r="CZ54" s="1">
        <v>648768</v>
      </c>
      <c r="DA54" s="1">
        <v>759704</v>
      </c>
      <c r="DB54" s="1">
        <v>713609</v>
      </c>
      <c r="DC54" s="1">
        <v>1683050</v>
      </c>
      <c r="DD54" s="1">
        <v>0</v>
      </c>
      <c r="DE54" s="1">
        <v>0</v>
      </c>
      <c r="DF54" s="1">
        <v>0</v>
      </c>
      <c r="DH54" s="6">
        <f t="shared" si="2"/>
        <v>90275596.5</v>
      </c>
    </row>
    <row r="55" spans="1:112" x14ac:dyDescent="0.2">
      <c r="A55" s="5" t="str">
        <f>A54</f>
        <v>DE</v>
      </c>
      <c r="B55" s="5" t="s">
        <v>41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H55" s="6">
        <f t="shared" si="2"/>
        <v>0</v>
      </c>
    </row>
    <row r="56" spans="1:112" x14ac:dyDescent="0.2">
      <c r="A56" s="5" t="s">
        <v>13</v>
      </c>
      <c r="B56" s="5" t="s">
        <v>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>
        <v>8576340.6799999997</v>
      </c>
      <c r="W56" s="1">
        <v>38545351.870000005</v>
      </c>
      <c r="X56" s="1">
        <v>46500331.019999996</v>
      </c>
      <c r="Y56" s="1">
        <v>59344805.990000002</v>
      </c>
      <c r="Z56" s="1">
        <v>59258838.120000005</v>
      </c>
      <c r="AA56" s="1">
        <v>58027140.859999999</v>
      </c>
      <c r="AB56" s="1">
        <v>56920783.480000004</v>
      </c>
      <c r="AC56" s="1">
        <v>19570984.68</v>
      </c>
      <c r="AD56" s="1">
        <v>1568497.09</v>
      </c>
      <c r="AE56" s="1">
        <v>6976637.2199999997</v>
      </c>
      <c r="AF56" s="1">
        <v>12711201.469999999</v>
      </c>
      <c r="AG56" s="1">
        <v>22859621.559999999</v>
      </c>
      <c r="AH56" s="1">
        <v>50313674.409999996</v>
      </c>
      <c r="AI56" s="1">
        <v>72397241</v>
      </c>
      <c r="AJ56" s="1">
        <v>81902416.349999994</v>
      </c>
      <c r="AK56" s="1">
        <v>87169919.209999993</v>
      </c>
      <c r="AL56" s="1">
        <v>104815629.58999999</v>
      </c>
      <c r="AM56" s="1">
        <v>149524789.10999998</v>
      </c>
      <c r="AN56" s="1">
        <v>143615169.91</v>
      </c>
      <c r="AO56" s="1">
        <v>161439561.27000001</v>
      </c>
      <c r="AP56" s="1">
        <v>118355535.01000001</v>
      </c>
      <c r="AQ56" s="1">
        <v>114882963.3</v>
      </c>
      <c r="AR56" s="1">
        <v>111176670.99000001</v>
      </c>
      <c r="AS56" s="1">
        <v>89960118.190000013</v>
      </c>
      <c r="AT56" s="1">
        <v>109149916.78</v>
      </c>
      <c r="AU56" s="1">
        <v>216116398.55000001</v>
      </c>
      <c r="AV56" s="1">
        <v>285532770.86000001</v>
      </c>
      <c r="AW56" s="1">
        <v>287436569.69</v>
      </c>
      <c r="AX56" s="1">
        <v>266518048.62</v>
      </c>
      <c r="AY56" s="1">
        <v>303327687.52000004</v>
      </c>
      <c r="AZ56" s="1">
        <v>215921313.45999998</v>
      </c>
      <c r="BA56" s="1">
        <v>233525474.48000002</v>
      </c>
      <c r="BB56" s="1">
        <v>177370317.41</v>
      </c>
      <c r="BC56" s="1">
        <v>147913283.94999999</v>
      </c>
      <c r="BD56" s="1">
        <v>122437949.61</v>
      </c>
      <c r="BE56" s="1">
        <v>108556796.13</v>
      </c>
      <c r="BF56" s="1">
        <v>122568313.38</v>
      </c>
      <c r="BG56" s="1">
        <v>200230740.78</v>
      </c>
      <c r="BH56" s="1">
        <v>238788233.84</v>
      </c>
      <c r="BI56" s="1">
        <v>247476283.50999999</v>
      </c>
      <c r="BJ56" s="1">
        <v>229949569.62</v>
      </c>
      <c r="BK56" s="1">
        <v>233619612.38</v>
      </c>
      <c r="BL56" s="1">
        <v>193879638.12</v>
      </c>
      <c r="BM56" s="1">
        <v>232614150.30000001</v>
      </c>
      <c r="BN56" s="1">
        <v>172589393.92999998</v>
      </c>
      <c r="BO56" s="1">
        <v>147715126.25999999</v>
      </c>
      <c r="BP56" s="1">
        <v>115595592.51000001</v>
      </c>
      <c r="BQ56" s="1">
        <v>109680895.28</v>
      </c>
      <c r="BR56" s="1">
        <v>141295038.62</v>
      </c>
      <c r="BS56" s="1">
        <v>245759020.09999999</v>
      </c>
      <c r="BT56" s="1">
        <v>255293522.34999999</v>
      </c>
      <c r="BU56" s="1">
        <v>289698466.19</v>
      </c>
      <c r="BV56" s="1">
        <v>282723929.88</v>
      </c>
      <c r="BW56" s="1">
        <v>259468795.21000001</v>
      </c>
      <c r="BX56" s="1">
        <v>220583731.55000001</v>
      </c>
      <c r="BY56" s="1">
        <v>272366214.10000002</v>
      </c>
      <c r="BZ56" s="1">
        <v>209522910.69999999</v>
      </c>
      <c r="CA56" s="1">
        <v>182461326.31999999</v>
      </c>
      <c r="CB56" s="1">
        <v>146682917.56</v>
      </c>
      <c r="CC56" s="1">
        <v>138136616.46000001</v>
      </c>
      <c r="CD56" s="1">
        <v>166987544.22999999</v>
      </c>
      <c r="CE56" s="1">
        <v>270853307.52999997</v>
      </c>
      <c r="CF56" s="1">
        <v>294931668.85000002</v>
      </c>
      <c r="CG56" s="1">
        <v>315221241.35000002</v>
      </c>
      <c r="CH56" s="1">
        <v>293123306.75999999</v>
      </c>
      <c r="CI56" s="1">
        <v>289730208.88999999</v>
      </c>
      <c r="CJ56" s="1">
        <v>216451613.82999998</v>
      </c>
      <c r="CK56" s="1">
        <v>287826744.94</v>
      </c>
      <c r="CL56" s="1">
        <v>215555372.78999999</v>
      </c>
      <c r="CM56" s="1">
        <v>202573364.85000002</v>
      </c>
      <c r="CN56" s="1">
        <v>168169130.24000001</v>
      </c>
      <c r="CO56" s="1">
        <v>146718571.56</v>
      </c>
      <c r="CP56" s="1">
        <v>181612625.13</v>
      </c>
      <c r="CQ56" s="1">
        <v>290232560.31</v>
      </c>
      <c r="CR56" s="1">
        <v>320875774.46999997</v>
      </c>
      <c r="CS56" s="1">
        <v>321000687.21000004</v>
      </c>
      <c r="CT56" s="1">
        <v>275604714.04000002</v>
      </c>
      <c r="CU56" s="1">
        <v>262330782.13999999</v>
      </c>
      <c r="CV56" s="1">
        <v>213646502.87</v>
      </c>
      <c r="CW56" s="1">
        <v>268229152.33999997</v>
      </c>
      <c r="CX56" s="1">
        <v>210458291.10000002</v>
      </c>
      <c r="CY56" s="1">
        <v>191112433.57999998</v>
      </c>
      <c r="CZ56" s="1">
        <v>185417064.36000001</v>
      </c>
      <c r="DA56" s="1">
        <v>182900041.85000002</v>
      </c>
      <c r="DB56" s="1">
        <v>185516329.28</v>
      </c>
      <c r="DC56" s="1">
        <v>290239048.42000002</v>
      </c>
      <c r="DD56" s="1">
        <v>0</v>
      </c>
      <c r="DE56" s="1">
        <v>0</v>
      </c>
      <c r="DF56" s="1">
        <v>0</v>
      </c>
      <c r="DH56" s="6">
        <f t="shared" si="2"/>
        <v>15286238871.310005</v>
      </c>
    </row>
    <row r="57" spans="1:112" x14ac:dyDescent="0.2">
      <c r="A57" s="5" t="s">
        <v>13</v>
      </c>
      <c r="B57" s="5" t="s">
        <v>42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>
        <v>3670446.37</v>
      </c>
      <c r="W57" s="1">
        <v>21810315.91</v>
      </c>
      <c r="X57" s="1">
        <v>25923748.079999998</v>
      </c>
      <c r="Y57" s="1">
        <v>33665752.420000002</v>
      </c>
      <c r="Z57" s="1">
        <v>33450318.210000001</v>
      </c>
      <c r="AA57" s="1">
        <v>33846094.939999998</v>
      </c>
      <c r="AB57" s="1">
        <v>37786872.090000004</v>
      </c>
      <c r="AC57" s="1">
        <v>13316068.34</v>
      </c>
      <c r="AD57" s="1">
        <v>1568548.09</v>
      </c>
      <c r="AE57" s="1">
        <v>6976617.2199999997</v>
      </c>
      <c r="AF57" s="1">
        <v>11581727.26</v>
      </c>
      <c r="AG57" s="1">
        <v>17770140.489999998</v>
      </c>
      <c r="AH57" s="1">
        <v>34993350.960000001</v>
      </c>
      <c r="AI57" s="1">
        <v>50010623.390000001</v>
      </c>
      <c r="AJ57" s="1">
        <v>56886206.960000001</v>
      </c>
      <c r="AK57" s="1">
        <v>62409859.829999998</v>
      </c>
      <c r="AL57" s="1">
        <v>78074462.099999994</v>
      </c>
      <c r="AM57" s="1">
        <v>120760377.02</v>
      </c>
      <c r="AN57" s="1">
        <v>125218447.45999999</v>
      </c>
      <c r="AO57" s="1">
        <v>139389145.86000001</v>
      </c>
      <c r="AP57" s="1">
        <v>104514350.40000001</v>
      </c>
      <c r="AQ57" s="1">
        <v>99916367.390000001</v>
      </c>
      <c r="AR57" s="1">
        <v>95130928.840000004</v>
      </c>
      <c r="AS57" s="1">
        <v>78877311.180000007</v>
      </c>
      <c r="AT57" s="1">
        <v>96695532.760000005</v>
      </c>
      <c r="AU57" s="1">
        <v>192225856</v>
      </c>
      <c r="AV57" s="1">
        <v>254544494.93000001</v>
      </c>
      <c r="AW57" s="1">
        <v>260558125.84</v>
      </c>
      <c r="AX57" s="1">
        <v>241711915.52000001</v>
      </c>
      <c r="AY57" s="1">
        <v>275864329.22000003</v>
      </c>
      <c r="AZ57" s="1">
        <v>195001067.72999999</v>
      </c>
      <c r="BA57" s="1">
        <v>208269565.12</v>
      </c>
      <c r="BB57" s="1">
        <v>161420797.49000001</v>
      </c>
      <c r="BC57" s="1">
        <v>134345354.06</v>
      </c>
      <c r="BD57" s="1">
        <v>111903633.64</v>
      </c>
      <c r="BE57" s="1">
        <v>98363763.659999996</v>
      </c>
      <c r="BF57" s="1">
        <v>110106475.63</v>
      </c>
      <c r="BG57" s="1">
        <v>177584794</v>
      </c>
      <c r="BH57" s="1">
        <v>212784285.19</v>
      </c>
      <c r="BI57" s="1">
        <v>223487882.91999999</v>
      </c>
      <c r="BJ57" s="1">
        <v>206925022.61000001</v>
      </c>
      <c r="BK57" s="1">
        <v>207674195.62</v>
      </c>
      <c r="BL57" s="1">
        <v>176196512.68000001</v>
      </c>
      <c r="BM57" s="1">
        <v>208995594.12</v>
      </c>
      <c r="BN57" s="1">
        <v>157530401.66999999</v>
      </c>
      <c r="BO57" s="1">
        <v>135181454.75999999</v>
      </c>
      <c r="BP57" s="1">
        <v>105728089.31</v>
      </c>
      <c r="BQ57" s="1">
        <v>101297785.84999999</v>
      </c>
      <c r="BR57" s="1">
        <v>131920797.13</v>
      </c>
      <c r="BS57" s="1">
        <v>222346242.88</v>
      </c>
      <c r="BT57" s="1">
        <v>231789985.00999999</v>
      </c>
      <c r="BU57" s="1">
        <v>265806184.53</v>
      </c>
      <c r="BV57" s="1">
        <v>258285940.00999999</v>
      </c>
      <c r="BW57" s="1">
        <v>238415488.06</v>
      </c>
      <c r="BX57" s="1">
        <v>203835485.36000001</v>
      </c>
      <c r="BY57" s="1">
        <v>251964433.41</v>
      </c>
      <c r="BZ57" s="1">
        <v>196573845.56999999</v>
      </c>
      <c r="CA57" s="1">
        <v>169461338.84</v>
      </c>
      <c r="CB57" s="1">
        <v>136696703.22</v>
      </c>
      <c r="CC57" s="1">
        <v>130623913.23999999</v>
      </c>
      <c r="CD57" s="1">
        <v>156108842.47999999</v>
      </c>
      <c r="CE57" s="1">
        <v>252257651.56</v>
      </c>
      <c r="CF57" s="1">
        <v>275032448.73000002</v>
      </c>
      <c r="CG57" s="1">
        <v>293934572.16000003</v>
      </c>
      <c r="CH57" s="1">
        <v>273120427.26999998</v>
      </c>
      <c r="CI57" s="1">
        <v>268957734.63999999</v>
      </c>
      <c r="CJ57" s="1">
        <v>203512724.22999999</v>
      </c>
      <c r="CK57" s="1">
        <v>268107649.22999999</v>
      </c>
      <c r="CL57" s="1">
        <v>203813913.34999999</v>
      </c>
      <c r="CM57" s="1">
        <v>190932661.11000001</v>
      </c>
      <c r="CN57" s="1">
        <v>158888182.03</v>
      </c>
      <c r="CO57" s="1">
        <v>139376359.59</v>
      </c>
      <c r="CP57" s="1">
        <v>172218991.53</v>
      </c>
      <c r="CQ57" s="1">
        <v>271692402.94</v>
      </c>
      <c r="CR57" s="1">
        <v>301953806.08999997</v>
      </c>
      <c r="CS57" s="1">
        <v>303055716.86000001</v>
      </c>
      <c r="CT57" s="1">
        <v>262055658.94</v>
      </c>
      <c r="CU57" s="1">
        <v>247658529.41999999</v>
      </c>
      <c r="CV57" s="1">
        <v>203452256.53999999</v>
      </c>
      <c r="CW57" s="1">
        <v>253389288.63999999</v>
      </c>
      <c r="CX57" s="1">
        <v>201172237.77000001</v>
      </c>
      <c r="CY57" s="1">
        <v>181499185.44999999</v>
      </c>
      <c r="CZ57" s="1">
        <v>176733267.78</v>
      </c>
      <c r="DA57" s="1">
        <v>173175506.24000001</v>
      </c>
      <c r="DB57" s="1">
        <v>178229863.19999999</v>
      </c>
      <c r="DC57" s="1">
        <v>276095667.86000001</v>
      </c>
      <c r="DD57" s="1">
        <v>0</v>
      </c>
      <c r="DE57" s="1">
        <v>0</v>
      </c>
      <c r="DF57" s="1">
        <v>0</v>
      </c>
      <c r="DH57" s="6">
        <f t="shared" si="2"/>
        <v>13866090914.040009</v>
      </c>
    </row>
    <row r="58" spans="1:112" x14ac:dyDescent="0.2">
      <c r="A58" s="5" t="s">
        <v>13</v>
      </c>
      <c r="B58" s="5" t="s">
        <v>43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>
        <f t="shared" ref="V58:CG58" si="29">V56-V57</f>
        <v>4905894.3099999996</v>
      </c>
      <c r="W58" s="1">
        <f t="shared" si="29"/>
        <v>16735035.960000005</v>
      </c>
      <c r="X58" s="1">
        <f t="shared" si="29"/>
        <v>20576582.939999998</v>
      </c>
      <c r="Y58" s="1">
        <f t="shared" si="29"/>
        <v>25679053.57</v>
      </c>
      <c r="Z58" s="1">
        <f t="shared" si="29"/>
        <v>25808519.910000004</v>
      </c>
      <c r="AA58" s="1">
        <f t="shared" si="29"/>
        <v>24181045.920000002</v>
      </c>
      <c r="AB58" s="1">
        <f t="shared" si="29"/>
        <v>19133911.390000001</v>
      </c>
      <c r="AC58" s="1">
        <f t="shared" si="29"/>
        <v>6254916.3399999999</v>
      </c>
      <c r="AD58" s="1">
        <f t="shared" si="29"/>
        <v>-51</v>
      </c>
      <c r="AE58" s="1">
        <f t="shared" si="29"/>
        <v>20</v>
      </c>
      <c r="AF58" s="1">
        <f t="shared" si="29"/>
        <v>1129474.209999999</v>
      </c>
      <c r="AG58" s="1">
        <f t="shared" si="29"/>
        <v>5089481.07</v>
      </c>
      <c r="AH58" s="1">
        <f t="shared" si="29"/>
        <v>15320323.449999996</v>
      </c>
      <c r="AI58" s="1">
        <f t="shared" si="29"/>
        <v>22386617.609999999</v>
      </c>
      <c r="AJ58" s="1">
        <f t="shared" si="29"/>
        <v>25016209.389999993</v>
      </c>
      <c r="AK58" s="1">
        <f t="shared" si="29"/>
        <v>24760059.379999995</v>
      </c>
      <c r="AL58" s="1">
        <f t="shared" si="29"/>
        <v>26741167.489999995</v>
      </c>
      <c r="AM58" s="1">
        <f t="shared" si="29"/>
        <v>28764412.089999989</v>
      </c>
      <c r="AN58" s="1">
        <f t="shared" si="29"/>
        <v>18396722.450000003</v>
      </c>
      <c r="AO58" s="1">
        <f t="shared" si="29"/>
        <v>22050415.409999996</v>
      </c>
      <c r="AP58" s="1">
        <f t="shared" si="29"/>
        <v>13841184.609999999</v>
      </c>
      <c r="AQ58" s="1">
        <f t="shared" si="29"/>
        <v>14966595.909999996</v>
      </c>
      <c r="AR58" s="1">
        <f t="shared" si="29"/>
        <v>16045742.150000006</v>
      </c>
      <c r="AS58" s="1">
        <f t="shared" si="29"/>
        <v>11082807.010000005</v>
      </c>
      <c r="AT58" s="1">
        <f t="shared" si="29"/>
        <v>12454384.019999996</v>
      </c>
      <c r="AU58" s="1">
        <f t="shared" si="29"/>
        <v>23890542.550000012</v>
      </c>
      <c r="AV58" s="1">
        <f t="shared" si="29"/>
        <v>30988275.930000007</v>
      </c>
      <c r="AW58" s="1">
        <f t="shared" si="29"/>
        <v>26878443.849999994</v>
      </c>
      <c r="AX58" s="1">
        <f t="shared" si="29"/>
        <v>24806133.099999994</v>
      </c>
      <c r="AY58" s="1">
        <f t="shared" si="29"/>
        <v>27463358.300000012</v>
      </c>
      <c r="AZ58" s="1">
        <f t="shared" si="29"/>
        <v>20920245.729999989</v>
      </c>
      <c r="BA58" s="1">
        <f t="shared" si="29"/>
        <v>25255909.360000014</v>
      </c>
      <c r="BB58" s="1">
        <f t="shared" si="29"/>
        <v>15949519.919999987</v>
      </c>
      <c r="BC58" s="1">
        <f t="shared" si="29"/>
        <v>13567929.889999986</v>
      </c>
      <c r="BD58" s="1">
        <f t="shared" si="29"/>
        <v>10534315.969999999</v>
      </c>
      <c r="BE58" s="1">
        <f t="shared" si="29"/>
        <v>10193032.469999999</v>
      </c>
      <c r="BF58" s="1">
        <f t="shared" si="29"/>
        <v>12461837.75</v>
      </c>
      <c r="BG58" s="1">
        <f t="shared" si="29"/>
        <v>22645946.780000001</v>
      </c>
      <c r="BH58" s="1">
        <f t="shared" si="29"/>
        <v>26003948.650000006</v>
      </c>
      <c r="BI58" s="1">
        <f t="shared" si="29"/>
        <v>23988400.590000004</v>
      </c>
      <c r="BJ58" s="1">
        <f t="shared" si="29"/>
        <v>23024547.00999999</v>
      </c>
      <c r="BK58" s="1">
        <f t="shared" si="29"/>
        <v>25945416.75999999</v>
      </c>
      <c r="BL58" s="1">
        <f t="shared" si="29"/>
        <v>17683125.439999998</v>
      </c>
      <c r="BM58" s="1">
        <f t="shared" si="29"/>
        <v>23618556.180000007</v>
      </c>
      <c r="BN58" s="1">
        <f t="shared" si="29"/>
        <v>15058992.25999999</v>
      </c>
      <c r="BO58" s="1">
        <f t="shared" si="29"/>
        <v>12533671.5</v>
      </c>
      <c r="BP58" s="1">
        <f t="shared" si="29"/>
        <v>9867503.200000003</v>
      </c>
      <c r="BQ58" s="1">
        <f t="shared" si="29"/>
        <v>8383109.4300000072</v>
      </c>
      <c r="BR58" s="1">
        <f t="shared" si="29"/>
        <v>9374241.4900000095</v>
      </c>
      <c r="BS58" s="1">
        <f t="shared" si="29"/>
        <v>23412777.219999999</v>
      </c>
      <c r="BT58" s="1">
        <f t="shared" si="29"/>
        <v>23503537.340000004</v>
      </c>
      <c r="BU58" s="1">
        <f t="shared" si="29"/>
        <v>23892281.659999996</v>
      </c>
      <c r="BV58" s="1">
        <f t="shared" si="29"/>
        <v>24437989.870000005</v>
      </c>
      <c r="BW58" s="1">
        <f t="shared" si="29"/>
        <v>21053307.150000006</v>
      </c>
      <c r="BX58" s="1">
        <f t="shared" si="29"/>
        <v>16748246.189999998</v>
      </c>
      <c r="BY58" s="1">
        <f t="shared" si="29"/>
        <v>20401780.690000027</v>
      </c>
      <c r="BZ58" s="1">
        <f t="shared" si="29"/>
        <v>12949065.129999995</v>
      </c>
      <c r="CA58" s="1">
        <f t="shared" si="29"/>
        <v>12999987.479999989</v>
      </c>
      <c r="CB58" s="1">
        <f t="shared" si="29"/>
        <v>9986214.3400000036</v>
      </c>
      <c r="CC58" s="1">
        <f t="shared" si="29"/>
        <v>7512703.2200000137</v>
      </c>
      <c r="CD58" s="1">
        <f t="shared" si="29"/>
        <v>10878701.75</v>
      </c>
      <c r="CE58" s="1">
        <f t="shared" si="29"/>
        <v>18595655.969999969</v>
      </c>
      <c r="CF58" s="1">
        <f t="shared" si="29"/>
        <v>19899220.120000005</v>
      </c>
      <c r="CG58" s="1">
        <f t="shared" si="29"/>
        <v>21286669.189999998</v>
      </c>
      <c r="CH58" s="1">
        <f t="shared" ref="CH58:DF58" si="30">CH56-CH57</f>
        <v>20002879.49000001</v>
      </c>
      <c r="CI58" s="1">
        <f t="shared" si="30"/>
        <v>20772474.25</v>
      </c>
      <c r="CJ58" s="1">
        <f t="shared" si="30"/>
        <v>12938889.599999994</v>
      </c>
      <c r="CK58" s="1">
        <f t="shared" si="30"/>
        <v>19719095.710000008</v>
      </c>
      <c r="CL58" s="1">
        <f t="shared" si="30"/>
        <v>11741459.439999998</v>
      </c>
      <c r="CM58" s="1">
        <f t="shared" si="30"/>
        <v>11640703.74000001</v>
      </c>
      <c r="CN58" s="1">
        <f t="shared" si="30"/>
        <v>9280948.2100000083</v>
      </c>
      <c r="CO58" s="1">
        <f t="shared" si="30"/>
        <v>7342211.9699999988</v>
      </c>
      <c r="CP58" s="1">
        <f t="shared" si="30"/>
        <v>9393633.599999994</v>
      </c>
      <c r="CQ58" s="1">
        <f t="shared" si="30"/>
        <v>18540157.370000005</v>
      </c>
      <c r="CR58" s="1">
        <f t="shared" si="30"/>
        <v>18921968.379999995</v>
      </c>
      <c r="CS58" s="1">
        <f t="shared" si="30"/>
        <v>17944970.350000024</v>
      </c>
      <c r="CT58" s="1">
        <f t="shared" si="30"/>
        <v>13549055.100000024</v>
      </c>
      <c r="CU58" s="1">
        <f t="shared" si="30"/>
        <v>14672252.719999999</v>
      </c>
      <c r="CV58" s="1">
        <f t="shared" si="30"/>
        <v>10194246.330000013</v>
      </c>
      <c r="CW58" s="1">
        <f t="shared" si="30"/>
        <v>14839863.699999988</v>
      </c>
      <c r="CX58" s="1">
        <f t="shared" si="30"/>
        <v>9286053.3300000131</v>
      </c>
      <c r="CY58" s="1">
        <f t="shared" si="30"/>
        <v>9613248.1299999952</v>
      </c>
      <c r="CZ58" s="1">
        <f t="shared" si="30"/>
        <v>8683796.5800000131</v>
      </c>
      <c r="DA58" s="1">
        <f t="shared" si="30"/>
        <v>9724535.6100000143</v>
      </c>
      <c r="DB58" s="1">
        <f t="shared" si="30"/>
        <v>7286466.0800000131</v>
      </c>
      <c r="DC58" s="1">
        <f t="shared" si="30"/>
        <v>14143380.560000002</v>
      </c>
      <c r="DD58" s="1">
        <f t="shared" si="30"/>
        <v>0</v>
      </c>
      <c r="DE58" s="1">
        <f t="shared" si="30"/>
        <v>0</v>
      </c>
      <c r="DF58" s="1">
        <f t="shared" si="30"/>
        <v>0</v>
      </c>
      <c r="DH58" s="6">
        <f t="shared" si="2"/>
        <v>1420147957.2700005</v>
      </c>
    </row>
    <row r="59" spans="1:112" x14ac:dyDescent="0.2">
      <c r="A59" s="5" t="s">
        <v>13</v>
      </c>
      <c r="B59" s="5" t="s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v>2161806.5299999998</v>
      </c>
      <c r="W59" s="1">
        <v>4959744.9000000004</v>
      </c>
      <c r="X59" s="1">
        <v>5658131.0300000003</v>
      </c>
      <c r="Y59" s="1">
        <v>3599749.5</v>
      </c>
      <c r="Z59" s="1">
        <v>2904256.84</v>
      </c>
      <c r="AA59" s="1">
        <v>3234793.5</v>
      </c>
      <c r="AB59" s="1">
        <v>755334.28</v>
      </c>
      <c r="AC59" s="1">
        <v>1171163.67</v>
      </c>
      <c r="AD59" s="1">
        <v>150331.24</v>
      </c>
      <c r="AE59" s="1">
        <v>501062.16</v>
      </c>
      <c r="AF59" s="1">
        <v>620740.19999999995</v>
      </c>
      <c r="AG59" s="1">
        <v>2244012.17</v>
      </c>
      <c r="AH59" s="1">
        <v>3003903.45</v>
      </c>
      <c r="AI59" s="1">
        <v>5167819.41</v>
      </c>
      <c r="AJ59" s="1">
        <v>9080995.3100000005</v>
      </c>
      <c r="AK59" s="1">
        <v>8144095.5199999996</v>
      </c>
      <c r="AL59" s="1">
        <v>7537004.21</v>
      </c>
      <c r="AM59" s="1">
        <v>11343303.07</v>
      </c>
      <c r="AN59" s="1">
        <v>7708148.1299999999</v>
      </c>
      <c r="AO59" s="1">
        <v>13454157.6</v>
      </c>
      <c r="AP59" s="1">
        <v>7725272.3700000001</v>
      </c>
      <c r="AQ59" s="1">
        <v>6133477.1500000004</v>
      </c>
      <c r="AR59" s="1">
        <v>8424698.8399999999</v>
      </c>
      <c r="AS59" s="1">
        <v>8112953.0800000001</v>
      </c>
      <c r="AT59" s="1">
        <v>7327163.5</v>
      </c>
      <c r="AU59" s="1">
        <v>11135516.210000001</v>
      </c>
      <c r="AV59" s="1">
        <v>10840968.34</v>
      </c>
      <c r="AW59" s="1">
        <v>19935557.91</v>
      </c>
      <c r="AX59" s="1">
        <v>13371196.6</v>
      </c>
      <c r="AY59" s="1">
        <v>14269557.460000001</v>
      </c>
      <c r="AZ59" s="1">
        <v>8579099.6600000001</v>
      </c>
      <c r="BA59" s="1">
        <v>14411045.779999999</v>
      </c>
      <c r="BB59" s="1">
        <v>12398242.890000001</v>
      </c>
      <c r="BC59" s="1">
        <v>12630387.26</v>
      </c>
      <c r="BD59" s="1">
        <v>6568678.0800000001</v>
      </c>
      <c r="BE59" s="1">
        <v>11173191.07</v>
      </c>
      <c r="BF59" s="1">
        <v>14418923.26</v>
      </c>
      <c r="BG59" s="1">
        <v>25417556.91</v>
      </c>
      <c r="BH59" s="1">
        <v>19137523.309999999</v>
      </c>
      <c r="BI59" s="1">
        <v>5802260.8600000003</v>
      </c>
      <c r="BJ59" s="1">
        <v>20745523.93</v>
      </c>
      <c r="BK59" s="1">
        <v>16543360.58</v>
      </c>
      <c r="BL59" s="1">
        <v>11871156.24</v>
      </c>
      <c r="BM59" s="1">
        <v>19857210.09</v>
      </c>
      <c r="BN59" s="1">
        <v>14117868.43</v>
      </c>
      <c r="BO59" s="1">
        <v>16599870.83</v>
      </c>
      <c r="BP59" s="1">
        <v>7131172.7699999996</v>
      </c>
      <c r="BQ59" s="1">
        <v>10568988.51</v>
      </c>
      <c r="BR59" s="1">
        <v>13507280.390000001</v>
      </c>
      <c r="BS59" s="1">
        <v>24059082.73</v>
      </c>
      <c r="BT59" s="1">
        <v>24189825.149999999</v>
      </c>
      <c r="BU59" s="1">
        <v>14090776.300000001</v>
      </c>
      <c r="BV59" s="1">
        <v>26251212.629999999</v>
      </c>
      <c r="BW59" s="1">
        <v>22064697.350000001</v>
      </c>
      <c r="BX59" s="1">
        <v>13608942.970000001</v>
      </c>
      <c r="BY59" s="1">
        <v>18194914.350000001</v>
      </c>
      <c r="BZ59" s="1">
        <v>16527341.75</v>
      </c>
      <c r="CA59" s="1">
        <v>16697596.4</v>
      </c>
      <c r="CB59" s="1">
        <v>12494103.08</v>
      </c>
      <c r="CC59" s="1">
        <v>13880200.300000001</v>
      </c>
      <c r="CD59" s="1">
        <v>15755186.810000001</v>
      </c>
      <c r="CE59" s="1">
        <v>27459491.039999999</v>
      </c>
      <c r="CF59" s="1">
        <v>18443864.43</v>
      </c>
      <c r="CG59" s="1">
        <v>30069719.609999999</v>
      </c>
      <c r="CH59" s="1">
        <v>13286723.560000001</v>
      </c>
      <c r="CI59" s="1">
        <v>26188815.789999999</v>
      </c>
      <c r="CJ59" s="1">
        <v>21272944.440000001</v>
      </c>
      <c r="CK59" s="1">
        <v>15749319.640000001</v>
      </c>
      <c r="CL59" s="1">
        <v>18757824.32</v>
      </c>
      <c r="CM59" s="1">
        <v>20059488.530000001</v>
      </c>
      <c r="CN59" s="1">
        <v>19210710.780000001</v>
      </c>
      <c r="CO59" s="1">
        <v>17995576.780000001</v>
      </c>
      <c r="CP59" s="1">
        <v>22069518.030000001</v>
      </c>
      <c r="CQ59" s="1">
        <v>22705555.129999999</v>
      </c>
      <c r="CR59" s="1">
        <v>28884068.399999999</v>
      </c>
      <c r="CS59" s="1">
        <v>31438865.27</v>
      </c>
      <c r="CT59" s="1">
        <v>30118458.550000001</v>
      </c>
      <c r="CU59" s="1">
        <v>27800264.52</v>
      </c>
      <c r="CV59" s="1">
        <v>19821140.899999999</v>
      </c>
      <c r="CW59" s="1">
        <v>24565321</v>
      </c>
      <c r="CX59" s="1">
        <v>21855599.690000001</v>
      </c>
      <c r="CY59" s="1">
        <v>20785834.859999999</v>
      </c>
      <c r="CZ59" s="1">
        <v>16413988.01</v>
      </c>
      <c r="DA59" s="1">
        <v>17967445.100000001</v>
      </c>
      <c r="DB59" s="1">
        <v>17115272.079999998</v>
      </c>
      <c r="DC59" s="1">
        <v>23745911.469999999</v>
      </c>
      <c r="DD59" s="1">
        <v>0</v>
      </c>
      <c r="DE59" s="1">
        <v>0</v>
      </c>
      <c r="DF59" s="1">
        <v>0</v>
      </c>
      <c r="DH59" s="6">
        <f t="shared" si="2"/>
        <v>1233751856.7799995</v>
      </c>
    </row>
    <row r="60" spans="1:112" x14ac:dyDescent="0.2">
      <c r="A60" s="5" t="s">
        <v>13</v>
      </c>
      <c r="B60" s="5" t="s">
        <v>44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424152.64</v>
      </c>
      <c r="W60" s="1">
        <v>2026495.72</v>
      </c>
      <c r="X60" s="1">
        <v>2652462.65</v>
      </c>
      <c r="Y60" s="1">
        <v>1532587.95</v>
      </c>
      <c r="Z60" s="1">
        <v>1847194.52</v>
      </c>
      <c r="AA60" s="1">
        <v>1370872.6</v>
      </c>
      <c r="AB60" s="1">
        <v>1369908.66</v>
      </c>
      <c r="AC60" s="1">
        <v>1241097.18</v>
      </c>
      <c r="AD60" s="1">
        <v>156838.12</v>
      </c>
      <c r="AE60" s="1">
        <v>506558.47</v>
      </c>
      <c r="AF60" s="1">
        <v>662061.62</v>
      </c>
      <c r="AG60" s="1">
        <v>1328429.75</v>
      </c>
      <c r="AH60" s="1">
        <v>1638542.75</v>
      </c>
      <c r="AI60" s="1">
        <v>2677956.58</v>
      </c>
      <c r="AJ60" s="1">
        <v>6371281.4199999999</v>
      </c>
      <c r="AK60" s="1">
        <v>5291643.3899999997</v>
      </c>
      <c r="AL60" s="1">
        <v>4613887.09</v>
      </c>
      <c r="AM60" s="1">
        <v>8410656.6699999999</v>
      </c>
      <c r="AN60" s="1">
        <v>6001822.46</v>
      </c>
      <c r="AO60" s="1">
        <v>10335875.880000001</v>
      </c>
      <c r="AP60" s="1">
        <v>6691947.75</v>
      </c>
      <c r="AQ60" s="1">
        <v>4824581.26</v>
      </c>
      <c r="AR60" s="1">
        <v>6381852.0199999996</v>
      </c>
      <c r="AS60" s="1">
        <v>7106156.9400000004</v>
      </c>
      <c r="AT60" s="1">
        <v>5476232.1200000001</v>
      </c>
      <c r="AU60" s="1">
        <v>6910899.9500000002</v>
      </c>
      <c r="AV60" s="1">
        <v>7831870.2599999998</v>
      </c>
      <c r="AW60" s="1">
        <v>16986939.629999999</v>
      </c>
      <c r="AX60" s="1">
        <v>11866083.4</v>
      </c>
      <c r="AY60" s="1">
        <v>12008025.689999999</v>
      </c>
      <c r="AZ60" s="1">
        <v>7989179.4000000004</v>
      </c>
      <c r="BA60" s="1">
        <v>12577159.439999999</v>
      </c>
      <c r="BB60" s="1">
        <v>11565472.4</v>
      </c>
      <c r="BC60" s="1">
        <v>11609761.539999999</v>
      </c>
      <c r="BD60" s="1">
        <v>6228126.0700000003</v>
      </c>
      <c r="BE60" s="1">
        <v>10099452.689999999</v>
      </c>
      <c r="BF60" s="1">
        <v>11709017.83</v>
      </c>
      <c r="BG60" s="1">
        <v>21207646.23</v>
      </c>
      <c r="BH60" s="1">
        <v>16406394.42</v>
      </c>
      <c r="BI60" s="1">
        <v>3860469.4</v>
      </c>
      <c r="BJ60" s="1">
        <v>17642796.82</v>
      </c>
      <c r="BK60" s="1">
        <v>15292722.17</v>
      </c>
      <c r="BL60" s="1">
        <v>12468884.640000001</v>
      </c>
      <c r="BM60" s="1">
        <v>17530365.039999999</v>
      </c>
      <c r="BN60" s="1">
        <v>13442619.050000001</v>
      </c>
      <c r="BO60" s="1">
        <v>14979143.85</v>
      </c>
      <c r="BP60" s="1">
        <v>6782589</v>
      </c>
      <c r="BQ60" s="1">
        <v>10093674.25</v>
      </c>
      <c r="BR60" s="1">
        <v>11648686.9</v>
      </c>
      <c r="BS60" s="1">
        <v>20930045.059999999</v>
      </c>
      <c r="BT60" s="1">
        <v>21189301.219999999</v>
      </c>
      <c r="BU60" s="1">
        <v>12614790.18</v>
      </c>
      <c r="BV60" s="1">
        <v>23561039</v>
      </c>
      <c r="BW60" s="1">
        <v>20532544.77</v>
      </c>
      <c r="BX60" s="1">
        <v>13824183.619999999</v>
      </c>
      <c r="BY60" s="1">
        <v>16538740.49</v>
      </c>
      <c r="BZ60" s="1">
        <v>15715036.720000001</v>
      </c>
      <c r="CA60" s="1">
        <v>14944611.039999999</v>
      </c>
      <c r="CB60" s="1">
        <v>11931217.199999999</v>
      </c>
      <c r="CC60" s="1">
        <v>12930755.810000001</v>
      </c>
      <c r="CD60" s="1">
        <v>13048770.1</v>
      </c>
      <c r="CE60" s="1">
        <v>24510499.969999999</v>
      </c>
      <c r="CF60" s="1">
        <v>17752232.5</v>
      </c>
      <c r="CG60" s="1">
        <v>27267250.149999999</v>
      </c>
      <c r="CH60" s="1">
        <v>13831518.92</v>
      </c>
      <c r="CI60" s="1">
        <v>25501072.100000001</v>
      </c>
      <c r="CJ60" s="1">
        <v>20918392.800000001</v>
      </c>
      <c r="CK60" s="1">
        <v>15060426.869999999</v>
      </c>
      <c r="CL60" s="1">
        <v>18461583.809999999</v>
      </c>
      <c r="CM60" s="1">
        <v>18903105.879999999</v>
      </c>
      <c r="CN60" s="1">
        <v>18369923</v>
      </c>
      <c r="CO60" s="1">
        <v>16431133.439999999</v>
      </c>
      <c r="CP60" s="1">
        <v>19689068.760000002</v>
      </c>
      <c r="CQ60" s="1">
        <v>20635309.760000002</v>
      </c>
      <c r="CR60" s="1">
        <v>26812866.039999999</v>
      </c>
      <c r="CS60" s="1">
        <v>29828480.370000001</v>
      </c>
      <c r="CT60" s="1">
        <v>28096488.52</v>
      </c>
      <c r="CU60" s="1">
        <v>26287801.469999999</v>
      </c>
      <c r="CV60" s="1">
        <v>19440128.280000001</v>
      </c>
      <c r="CW60" s="1">
        <v>23034224.16</v>
      </c>
      <c r="CX60" s="1">
        <v>20840261.649999999</v>
      </c>
      <c r="CY60" s="1">
        <v>19631097.57</v>
      </c>
      <c r="CZ60" s="1">
        <v>15518103.75</v>
      </c>
      <c r="DA60" s="1">
        <v>16786386.620000001</v>
      </c>
      <c r="DB60" s="1">
        <v>16009797.84</v>
      </c>
      <c r="DC60" s="1">
        <v>21585019.539999999</v>
      </c>
      <c r="DD60" s="1">
        <v>0</v>
      </c>
      <c r="DE60" s="1">
        <v>0</v>
      </c>
      <c r="DF60" s="1">
        <v>0</v>
      </c>
      <c r="DH60" s="6">
        <f t="shared" si="2"/>
        <v>1098642285.26</v>
      </c>
    </row>
    <row r="61" spans="1:112" x14ac:dyDescent="0.2">
      <c r="A61" s="5" t="s">
        <v>13</v>
      </c>
      <c r="B61" s="5" t="s">
        <v>45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>
        <f t="shared" ref="V61:CG61" si="31">V59-V60</f>
        <v>1737653.8899999997</v>
      </c>
      <c r="W61" s="1">
        <f t="shared" si="31"/>
        <v>2933249.1800000006</v>
      </c>
      <c r="X61" s="1">
        <f t="shared" si="31"/>
        <v>3005668.3800000004</v>
      </c>
      <c r="Y61" s="1">
        <f t="shared" si="31"/>
        <v>2067161.55</v>
      </c>
      <c r="Z61" s="1">
        <f t="shared" si="31"/>
        <v>1057062.3199999998</v>
      </c>
      <c r="AA61" s="1">
        <f t="shared" si="31"/>
        <v>1863920.9</v>
      </c>
      <c r="AB61" s="1">
        <f t="shared" si="31"/>
        <v>-614574.37999999989</v>
      </c>
      <c r="AC61" s="1">
        <f t="shared" si="31"/>
        <v>-69933.510000000009</v>
      </c>
      <c r="AD61" s="1">
        <f t="shared" si="31"/>
        <v>-6506.8800000000047</v>
      </c>
      <c r="AE61" s="1">
        <f t="shared" si="31"/>
        <v>-5496.3099999999977</v>
      </c>
      <c r="AF61" s="1">
        <f t="shared" si="31"/>
        <v>-41321.420000000042</v>
      </c>
      <c r="AG61" s="1">
        <f t="shared" si="31"/>
        <v>915582.41999999993</v>
      </c>
      <c r="AH61" s="1">
        <f t="shared" si="31"/>
        <v>1365360.7000000002</v>
      </c>
      <c r="AI61" s="1">
        <f t="shared" si="31"/>
        <v>2489862.83</v>
      </c>
      <c r="AJ61" s="1">
        <f t="shared" si="31"/>
        <v>2709713.8900000006</v>
      </c>
      <c r="AK61" s="1">
        <f t="shared" si="31"/>
        <v>2852452.13</v>
      </c>
      <c r="AL61" s="1">
        <f t="shared" si="31"/>
        <v>2923117.12</v>
      </c>
      <c r="AM61" s="1">
        <f t="shared" si="31"/>
        <v>2932646.4000000004</v>
      </c>
      <c r="AN61" s="1">
        <f t="shared" si="31"/>
        <v>1706325.67</v>
      </c>
      <c r="AO61" s="1">
        <f t="shared" si="31"/>
        <v>3118281.7199999988</v>
      </c>
      <c r="AP61" s="1">
        <f t="shared" si="31"/>
        <v>1033324.6200000001</v>
      </c>
      <c r="AQ61" s="1">
        <f t="shared" si="31"/>
        <v>1308895.8900000006</v>
      </c>
      <c r="AR61" s="1">
        <f t="shared" si="31"/>
        <v>2042846.8200000003</v>
      </c>
      <c r="AS61" s="1">
        <f t="shared" si="31"/>
        <v>1006796.1399999997</v>
      </c>
      <c r="AT61" s="1">
        <f t="shared" si="31"/>
        <v>1850931.38</v>
      </c>
      <c r="AU61" s="1">
        <f t="shared" si="31"/>
        <v>4224616.2600000007</v>
      </c>
      <c r="AV61" s="1">
        <f t="shared" si="31"/>
        <v>3009098.08</v>
      </c>
      <c r="AW61" s="1">
        <f t="shared" si="31"/>
        <v>2948618.2800000012</v>
      </c>
      <c r="AX61" s="1">
        <f t="shared" si="31"/>
        <v>1505113.1999999993</v>
      </c>
      <c r="AY61" s="1">
        <f t="shared" si="31"/>
        <v>2261531.7700000014</v>
      </c>
      <c r="AZ61" s="1">
        <f t="shared" si="31"/>
        <v>589920.25999999978</v>
      </c>
      <c r="BA61" s="1">
        <f t="shared" si="31"/>
        <v>1833886.3399999999</v>
      </c>
      <c r="BB61" s="1">
        <f t="shared" si="31"/>
        <v>832770.49000000022</v>
      </c>
      <c r="BC61" s="1">
        <f t="shared" si="31"/>
        <v>1020625.7200000007</v>
      </c>
      <c r="BD61" s="1">
        <f t="shared" si="31"/>
        <v>340552.00999999978</v>
      </c>
      <c r="BE61" s="1">
        <f t="shared" si="31"/>
        <v>1073738.3800000008</v>
      </c>
      <c r="BF61" s="1">
        <f t="shared" si="31"/>
        <v>2709905.4299999997</v>
      </c>
      <c r="BG61" s="1">
        <f t="shared" si="31"/>
        <v>4209910.68</v>
      </c>
      <c r="BH61" s="1">
        <f t="shared" si="31"/>
        <v>2731128.8899999987</v>
      </c>
      <c r="BI61" s="1">
        <f t="shared" si="31"/>
        <v>1941791.4600000004</v>
      </c>
      <c r="BJ61" s="1">
        <f t="shared" si="31"/>
        <v>3102727.1099999994</v>
      </c>
      <c r="BK61" s="1">
        <f t="shared" si="31"/>
        <v>1250638.4100000001</v>
      </c>
      <c r="BL61" s="1">
        <f t="shared" si="31"/>
        <v>-597728.40000000037</v>
      </c>
      <c r="BM61" s="1">
        <f t="shared" si="31"/>
        <v>2326845.0500000007</v>
      </c>
      <c r="BN61" s="1">
        <f t="shared" si="31"/>
        <v>675249.37999999896</v>
      </c>
      <c r="BO61" s="1">
        <f t="shared" si="31"/>
        <v>1620726.9800000004</v>
      </c>
      <c r="BP61" s="1">
        <f t="shared" si="31"/>
        <v>348583.76999999955</v>
      </c>
      <c r="BQ61" s="1">
        <f t="shared" si="31"/>
        <v>475314.25999999978</v>
      </c>
      <c r="BR61" s="1">
        <f t="shared" si="31"/>
        <v>1858593.4900000002</v>
      </c>
      <c r="BS61" s="1">
        <f t="shared" si="31"/>
        <v>3129037.6700000018</v>
      </c>
      <c r="BT61" s="1">
        <f t="shared" si="31"/>
        <v>3000523.9299999997</v>
      </c>
      <c r="BU61" s="1">
        <f t="shared" si="31"/>
        <v>1475986.120000001</v>
      </c>
      <c r="BV61" s="1">
        <f t="shared" si="31"/>
        <v>2690173.629999999</v>
      </c>
      <c r="BW61" s="1">
        <f t="shared" si="31"/>
        <v>1532152.5800000019</v>
      </c>
      <c r="BX61" s="1">
        <f t="shared" si="31"/>
        <v>-215240.64999999851</v>
      </c>
      <c r="BY61" s="1">
        <f t="shared" si="31"/>
        <v>1656173.8600000013</v>
      </c>
      <c r="BZ61" s="1">
        <f t="shared" si="31"/>
        <v>812305.02999999933</v>
      </c>
      <c r="CA61" s="1">
        <f t="shared" si="31"/>
        <v>1752985.3600000013</v>
      </c>
      <c r="CB61" s="1">
        <f t="shared" si="31"/>
        <v>562885.88000000082</v>
      </c>
      <c r="CC61" s="1">
        <f t="shared" si="31"/>
        <v>949444.49000000022</v>
      </c>
      <c r="CD61" s="1">
        <f t="shared" si="31"/>
        <v>2706416.7100000009</v>
      </c>
      <c r="CE61" s="1">
        <f t="shared" si="31"/>
        <v>2948991.0700000003</v>
      </c>
      <c r="CF61" s="1">
        <f t="shared" si="31"/>
        <v>691631.9299999997</v>
      </c>
      <c r="CG61" s="1">
        <f t="shared" si="31"/>
        <v>2802469.4600000009</v>
      </c>
      <c r="CH61" s="1">
        <f t="shared" ref="CH61:DF61" si="32">CH59-CH60</f>
        <v>-544795.3599999994</v>
      </c>
      <c r="CI61" s="1">
        <f t="shared" si="32"/>
        <v>687743.68999999762</v>
      </c>
      <c r="CJ61" s="1">
        <f t="shared" si="32"/>
        <v>354551.6400000006</v>
      </c>
      <c r="CK61" s="1">
        <f t="shared" si="32"/>
        <v>688892.77000000142</v>
      </c>
      <c r="CL61" s="1">
        <f t="shared" si="32"/>
        <v>296240.51000000164</v>
      </c>
      <c r="CM61" s="1">
        <f t="shared" si="32"/>
        <v>1156382.6500000022</v>
      </c>
      <c r="CN61" s="1">
        <f t="shared" si="32"/>
        <v>840787.78000000119</v>
      </c>
      <c r="CO61" s="1">
        <f t="shared" si="32"/>
        <v>1564443.3400000017</v>
      </c>
      <c r="CP61" s="1">
        <f t="shared" si="32"/>
        <v>2380449.2699999996</v>
      </c>
      <c r="CQ61" s="1">
        <f t="shared" si="32"/>
        <v>2070245.3699999973</v>
      </c>
      <c r="CR61" s="1">
        <f t="shared" si="32"/>
        <v>2071202.3599999994</v>
      </c>
      <c r="CS61" s="1">
        <f t="shared" si="32"/>
        <v>1610384.8999999985</v>
      </c>
      <c r="CT61" s="1">
        <f t="shared" si="32"/>
        <v>2021970.0300000012</v>
      </c>
      <c r="CU61" s="1">
        <f t="shared" si="32"/>
        <v>1512463.0500000007</v>
      </c>
      <c r="CV61" s="1">
        <f t="shared" si="32"/>
        <v>381012.61999999732</v>
      </c>
      <c r="CW61" s="1">
        <f t="shared" si="32"/>
        <v>1531096.8399999999</v>
      </c>
      <c r="CX61" s="1">
        <f t="shared" si="32"/>
        <v>1015338.0400000028</v>
      </c>
      <c r="CY61" s="1">
        <f t="shared" si="32"/>
        <v>1154737.2899999991</v>
      </c>
      <c r="CZ61" s="1">
        <f t="shared" si="32"/>
        <v>895884.25999999978</v>
      </c>
      <c r="DA61" s="1">
        <f t="shared" si="32"/>
        <v>1181058.4800000004</v>
      </c>
      <c r="DB61" s="1">
        <f t="shared" si="32"/>
        <v>1105474.2399999984</v>
      </c>
      <c r="DC61" s="1">
        <f t="shared" si="32"/>
        <v>2160891.9299999997</v>
      </c>
      <c r="DD61" s="1">
        <f t="shared" si="32"/>
        <v>0</v>
      </c>
      <c r="DE61" s="1">
        <f t="shared" si="32"/>
        <v>0</v>
      </c>
      <c r="DF61" s="1">
        <f t="shared" si="32"/>
        <v>0</v>
      </c>
      <c r="DH61" s="6">
        <f t="shared" si="2"/>
        <v>135109571.51999995</v>
      </c>
    </row>
    <row r="62" spans="1:112" x14ac:dyDescent="0.2">
      <c r="A62" s="5" t="s">
        <v>13</v>
      </c>
      <c r="B62" s="5" t="s">
        <v>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>
        <v>2161806.5299999998</v>
      </c>
      <c r="W62" s="1">
        <v>4959744.9000000004</v>
      </c>
      <c r="X62" s="1">
        <v>5658131.0300000003</v>
      </c>
      <c r="Y62" s="1">
        <v>3599749.5</v>
      </c>
      <c r="Z62" s="1">
        <v>2904256.84</v>
      </c>
      <c r="AA62" s="1">
        <v>3234793.5</v>
      </c>
      <c r="AB62" s="1">
        <v>755334.28</v>
      </c>
      <c r="AC62" s="1">
        <v>1171163.67</v>
      </c>
      <c r="AD62" s="1">
        <v>150331.24</v>
      </c>
      <c r="AE62" s="1">
        <v>501062.16</v>
      </c>
      <c r="AF62" s="1">
        <v>620740.19999999995</v>
      </c>
      <c r="AG62" s="1">
        <v>2244012.17</v>
      </c>
      <c r="AH62" s="1">
        <v>3003903.45</v>
      </c>
      <c r="AI62" s="1">
        <v>5167819.41</v>
      </c>
      <c r="AJ62" s="1">
        <v>9080995.3100000005</v>
      </c>
      <c r="AK62" s="1">
        <v>8144095.5199999996</v>
      </c>
      <c r="AL62" s="1">
        <v>7537004.21</v>
      </c>
      <c r="AM62" s="1">
        <v>11343303.07</v>
      </c>
      <c r="AN62" s="1">
        <v>7708148.1299999999</v>
      </c>
      <c r="AO62" s="1">
        <v>13454157.6</v>
      </c>
      <c r="AP62" s="1">
        <v>7725272.3700000001</v>
      </c>
      <c r="AQ62" s="1">
        <v>6133477.1500000004</v>
      </c>
      <c r="AR62" s="1">
        <v>8424698.8399999999</v>
      </c>
      <c r="AS62" s="1">
        <v>8112953.0800000001</v>
      </c>
      <c r="AT62" s="1">
        <v>7327163.5</v>
      </c>
      <c r="AU62" s="1">
        <v>11135516.210000001</v>
      </c>
      <c r="AV62" s="1">
        <v>10840968.34</v>
      </c>
      <c r="AW62" s="1">
        <v>19935557.91</v>
      </c>
      <c r="AX62" s="1">
        <v>13371196.6</v>
      </c>
      <c r="AY62" s="1">
        <v>14269557.460000001</v>
      </c>
      <c r="AZ62" s="1">
        <v>8579099.6600000001</v>
      </c>
      <c r="BA62" s="1">
        <v>14411045.779999999</v>
      </c>
      <c r="BB62" s="1">
        <v>12398242.890000001</v>
      </c>
      <c r="BC62" s="1">
        <v>12630387.26</v>
      </c>
      <c r="BD62" s="1">
        <v>6568678.0800000001</v>
      </c>
      <c r="BE62" s="1">
        <v>11173191.07</v>
      </c>
      <c r="BF62" s="1">
        <v>14418923.26</v>
      </c>
      <c r="BG62" s="1">
        <v>25417556.91</v>
      </c>
      <c r="BH62" s="1">
        <v>19137523.309999999</v>
      </c>
      <c r="BI62" s="1">
        <v>5802260.8600000003</v>
      </c>
      <c r="BJ62" s="1">
        <v>20745523.93</v>
      </c>
      <c r="BK62" s="1">
        <v>16543360.58</v>
      </c>
      <c r="BL62" s="1">
        <v>11871156.24</v>
      </c>
      <c r="BM62" s="1">
        <v>19857210.09</v>
      </c>
      <c r="BN62" s="1">
        <v>14117868.43</v>
      </c>
      <c r="BO62" s="1">
        <v>16599870.83</v>
      </c>
      <c r="BP62" s="1">
        <v>7131172.7699999996</v>
      </c>
      <c r="BQ62" s="1">
        <v>10568988.51</v>
      </c>
      <c r="BR62" s="1">
        <v>13507280.390000001</v>
      </c>
      <c r="BS62" s="1">
        <v>24059082.73</v>
      </c>
      <c r="BT62" s="1">
        <v>24189825.149999999</v>
      </c>
      <c r="BU62" s="1">
        <v>14090776.300000001</v>
      </c>
      <c r="BV62" s="1">
        <v>26251212.629999999</v>
      </c>
      <c r="BW62" s="1">
        <v>22064697.350000001</v>
      </c>
      <c r="BX62" s="1">
        <v>13608942.970000001</v>
      </c>
      <c r="BY62" s="1">
        <v>18194914.350000001</v>
      </c>
      <c r="BZ62" s="1">
        <v>16527341.75</v>
      </c>
      <c r="CA62" s="1">
        <v>16697596.4</v>
      </c>
      <c r="CB62" s="1">
        <v>12494103.08</v>
      </c>
      <c r="CC62" s="1">
        <v>13880200.300000001</v>
      </c>
      <c r="CD62" s="1">
        <v>15755186.810000001</v>
      </c>
      <c r="CE62" s="1">
        <v>27459491.039999999</v>
      </c>
      <c r="CF62" s="1">
        <v>18443864.43</v>
      </c>
      <c r="CG62" s="1">
        <v>30069719.609999999</v>
      </c>
      <c r="CH62" s="1">
        <v>13286723.560000001</v>
      </c>
      <c r="CI62" s="1">
        <v>26188815.789999999</v>
      </c>
      <c r="CJ62" s="1">
        <v>21272944.440000001</v>
      </c>
      <c r="CK62" s="1">
        <v>15749319.640000001</v>
      </c>
      <c r="CL62" s="1">
        <v>18757824.32</v>
      </c>
      <c r="CM62" s="1">
        <v>20059488.530000001</v>
      </c>
      <c r="CN62" s="1">
        <v>19210710.780000001</v>
      </c>
      <c r="CO62" s="1">
        <v>17995576.780000001</v>
      </c>
      <c r="CP62" s="1">
        <v>22069518.030000001</v>
      </c>
      <c r="CQ62" s="1">
        <v>22705555.129999999</v>
      </c>
      <c r="CR62" s="1">
        <v>28884068.399999999</v>
      </c>
      <c r="CS62" s="1">
        <v>31438865.27</v>
      </c>
      <c r="CT62" s="1">
        <v>30118458.550000001</v>
      </c>
      <c r="CU62" s="1">
        <v>27800264.52</v>
      </c>
      <c r="CV62" s="1">
        <v>19821140.899999999</v>
      </c>
      <c r="CW62" s="1">
        <v>24565321</v>
      </c>
      <c r="CX62" s="1">
        <v>21855599.690000001</v>
      </c>
      <c r="CY62" s="1">
        <v>20785834.859999999</v>
      </c>
      <c r="CZ62" s="1">
        <v>16413988.01</v>
      </c>
      <c r="DA62" s="1">
        <v>17967445.100000001</v>
      </c>
      <c r="DB62" s="1">
        <v>17115272.079999998</v>
      </c>
      <c r="DC62" s="1">
        <v>23745911.469999999</v>
      </c>
      <c r="DD62" s="1">
        <v>0</v>
      </c>
      <c r="DE62" s="1">
        <v>0</v>
      </c>
      <c r="DF62" s="1">
        <v>0</v>
      </c>
      <c r="DH62" s="6">
        <f t="shared" si="2"/>
        <v>1233751856.7799995</v>
      </c>
    </row>
    <row r="63" spans="1:112" x14ac:dyDescent="0.2">
      <c r="A63" s="5" t="s">
        <v>13</v>
      </c>
      <c r="B63" s="5" t="s">
        <v>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>
        <v>145914.53</v>
      </c>
      <c r="W63" s="1">
        <v>334779.62</v>
      </c>
      <c r="X63" s="1">
        <v>381379.13</v>
      </c>
      <c r="Y63" s="1">
        <v>242902.78</v>
      </c>
      <c r="Z63" s="1">
        <v>198872.33</v>
      </c>
      <c r="AA63" s="1">
        <v>223570.6</v>
      </c>
      <c r="AB63" s="1">
        <v>97962.85</v>
      </c>
      <c r="AC63" s="1">
        <v>79171.23</v>
      </c>
      <c r="AD63" s="1">
        <v>9502.2199999999993</v>
      </c>
      <c r="AE63" s="1">
        <v>32110.799999999999</v>
      </c>
      <c r="AF63" s="1">
        <v>41032.74</v>
      </c>
      <c r="AG63" s="1">
        <v>151918.74</v>
      </c>
      <c r="AH63" s="1">
        <v>202315.57</v>
      </c>
      <c r="AI63" s="1">
        <v>348827.61</v>
      </c>
      <c r="AJ63" s="1">
        <v>612967.17000000004</v>
      </c>
      <c r="AK63" s="1">
        <v>549726.46</v>
      </c>
      <c r="AL63" s="1">
        <v>508747.77</v>
      </c>
      <c r="AM63" s="1">
        <v>765672.97</v>
      </c>
      <c r="AN63" s="1">
        <v>520444.13</v>
      </c>
      <c r="AO63" s="1">
        <v>908011.49</v>
      </c>
      <c r="AP63" s="1">
        <v>521454.9</v>
      </c>
      <c r="AQ63" s="1">
        <v>414175.02</v>
      </c>
      <c r="AR63" s="1">
        <v>568501.89</v>
      </c>
      <c r="AS63" s="1">
        <v>479478.62</v>
      </c>
      <c r="AT63" s="1">
        <v>486608.24</v>
      </c>
      <c r="AU63" s="1">
        <v>512951.23</v>
      </c>
      <c r="AV63" s="1">
        <v>426870.58</v>
      </c>
      <c r="AW63" s="1">
        <v>2070738.37</v>
      </c>
      <c r="AX63" s="1">
        <v>957637.19</v>
      </c>
      <c r="AY63" s="1">
        <v>964525.43</v>
      </c>
      <c r="AZ63" s="1">
        <v>593539.53</v>
      </c>
      <c r="BA63" s="1">
        <v>972991.01</v>
      </c>
      <c r="BB63" s="1">
        <v>838173.52</v>
      </c>
      <c r="BC63" s="1">
        <v>850597.74</v>
      </c>
      <c r="BD63" s="1">
        <v>446594.28</v>
      </c>
      <c r="BE63" s="1">
        <v>754291.7</v>
      </c>
      <c r="BF63" s="1">
        <v>969967.51</v>
      </c>
      <c r="BG63" s="1">
        <v>1716452.03</v>
      </c>
      <c r="BH63" s="1">
        <v>1293701.98</v>
      </c>
      <c r="BI63" s="1">
        <v>1596411.82</v>
      </c>
      <c r="BJ63" s="1">
        <v>1351997.21</v>
      </c>
      <c r="BK63" s="1">
        <v>1081365.28</v>
      </c>
      <c r="BL63" s="1">
        <v>789626.26</v>
      </c>
      <c r="BM63" s="1">
        <v>1296262.21</v>
      </c>
      <c r="BN63" s="1">
        <v>958605.19</v>
      </c>
      <c r="BO63" s="1">
        <v>1060058.78</v>
      </c>
      <c r="BP63" s="1">
        <v>570976.12</v>
      </c>
      <c r="BQ63" s="1">
        <v>713772.23</v>
      </c>
      <c r="BR63" s="1">
        <v>911669.84</v>
      </c>
      <c r="BS63" s="1">
        <v>1623694.16</v>
      </c>
      <c r="BT63" s="1">
        <v>1636357.45</v>
      </c>
      <c r="BU63" s="1">
        <v>954195.05</v>
      </c>
      <c r="BV63" s="1">
        <v>1770658.18</v>
      </c>
      <c r="BW63" s="1">
        <v>1493906.3</v>
      </c>
      <c r="BX63" s="1">
        <v>936744.24</v>
      </c>
      <c r="BY63" s="1">
        <v>1215324.67</v>
      </c>
      <c r="BZ63" s="1">
        <v>1121383.4099999999</v>
      </c>
      <c r="CA63" s="1">
        <v>1122675.17</v>
      </c>
      <c r="CB63" s="1">
        <v>1122675.17</v>
      </c>
      <c r="CC63" s="1">
        <v>936488.81</v>
      </c>
      <c r="CD63" s="1">
        <v>1058864.1299999999</v>
      </c>
      <c r="CE63" s="1">
        <v>1853541.68</v>
      </c>
      <c r="CF63" s="1">
        <v>1245829.93</v>
      </c>
      <c r="CG63" s="1">
        <v>2028995.35</v>
      </c>
      <c r="CH63" s="1">
        <v>924259.62</v>
      </c>
      <c r="CI63" s="1">
        <v>1751827.09</v>
      </c>
      <c r="CJ63" s="1">
        <v>1447792.85</v>
      </c>
      <c r="CK63" s="1">
        <v>1064422.6399999999</v>
      </c>
      <c r="CL63" s="1">
        <v>1262556.2</v>
      </c>
      <c r="CM63" s="1">
        <v>1354895.79</v>
      </c>
      <c r="CN63" s="1">
        <v>1285089.24</v>
      </c>
      <c r="CO63" s="1">
        <v>1211875.68</v>
      </c>
      <c r="CP63" s="1">
        <v>1483295.09</v>
      </c>
      <c r="CQ63" s="1">
        <v>1529268.46</v>
      </c>
      <c r="CR63" s="1">
        <v>1949674.61</v>
      </c>
      <c r="CS63" s="1">
        <v>2122123.4</v>
      </c>
      <c r="CT63" s="1">
        <v>2032995.94</v>
      </c>
      <c r="CU63" s="1">
        <v>1877472.07</v>
      </c>
      <c r="CV63" s="1">
        <v>1340060.97</v>
      </c>
      <c r="CW63" s="1">
        <v>1657064.99</v>
      </c>
      <c r="CX63" s="1">
        <v>1475836.58</v>
      </c>
      <c r="CY63" s="1">
        <v>1400505.54</v>
      </c>
      <c r="CZ63" s="1">
        <v>1107904.93</v>
      </c>
      <c r="DA63" s="1">
        <v>1213194.27</v>
      </c>
      <c r="DB63" s="1">
        <v>1154889.19</v>
      </c>
      <c r="DC63" s="1">
        <v>1602849.01</v>
      </c>
      <c r="DD63" s="1">
        <v>0</v>
      </c>
      <c r="DE63" s="1">
        <v>0</v>
      </c>
      <c r="DF63" s="1">
        <v>0</v>
      </c>
      <c r="DH63" s="6">
        <f t="shared" si="2"/>
        <v>84897014.310000032</v>
      </c>
    </row>
    <row r="64" spans="1:112" x14ac:dyDescent="0.2">
      <c r="A64" s="5" t="str">
        <f>A63</f>
        <v>IA</v>
      </c>
      <c r="B64" s="5" t="s">
        <v>41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H64" s="6">
        <f t="shared" si="2"/>
        <v>0</v>
      </c>
    </row>
    <row r="65" spans="1:112" x14ac:dyDescent="0.2">
      <c r="A65" s="5" t="s">
        <v>14</v>
      </c>
      <c r="B65" s="5" t="s">
        <v>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>
        <v>997739.13</v>
      </c>
      <c r="AD65" s="1">
        <v>0</v>
      </c>
      <c r="AE65" s="1">
        <v>0</v>
      </c>
      <c r="AF65" s="1">
        <v>8281802.8700000001</v>
      </c>
      <c r="AG65" s="1">
        <v>52524612.379999995</v>
      </c>
      <c r="AH65" s="1">
        <v>140065648.60999998</v>
      </c>
      <c r="AI65" s="1">
        <v>305223938.24999994</v>
      </c>
      <c r="AJ65" s="1">
        <v>434567103.00999987</v>
      </c>
      <c r="AK65" s="1">
        <v>449239161.83999991</v>
      </c>
      <c r="AL65" s="1">
        <v>491720535.56999999</v>
      </c>
      <c r="AM65" s="1">
        <v>581553299.86000001</v>
      </c>
      <c r="AN65" s="1">
        <v>509794591.68000001</v>
      </c>
      <c r="AO65" s="1">
        <v>633614956.85000002</v>
      </c>
      <c r="AP65" s="1">
        <v>537158723.34000003</v>
      </c>
      <c r="AQ65" s="1">
        <v>507279761.24000001</v>
      </c>
      <c r="AR65" s="1">
        <v>476517309.50999999</v>
      </c>
      <c r="AS65" s="1">
        <v>369134820.25</v>
      </c>
      <c r="AT65" s="1">
        <v>400359760.30000001</v>
      </c>
      <c r="AU65" s="1">
        <v>596455693.49000001</v>
      </c>
      <c r="AV65" s="1">
        <v>840440434.33000004</v>
      </c>
      <c r="AW65" s="1">
        <v>779853366.92999995</v>
      </c>
      <c r="AX65" s="1">
        <v>789600347.36000001</v>
      </c>
      <c r="AY65" s="1">
        <v>867505494.7700001</v>
      </c>
      <c r="AZ65" s="1">
        <v>679374198.52999997</v>
      </c>
      <c r="BA65" s="1">
        <v>971278388.74000001</v>
      </c>
      <c r="BB65" s="1">
        <v>839386881.96999991</v>
      </c>
      <c r="BC65" s="1">
        <v>764591757.05999994</v>
      </c>
      <c r="BD65" s="1">
        <v>628459522.36999989</v>
      </c>
      <c r="BE65" s="1">
        <v>516414719.26999998</v>
      </c>
      <c r="BF65" s="1">
        <v>564837409.43000007</v>
      </c>
      <c r="BG65" s="1">
        <v>831805989.83999991</v>
      </c>
      <c r="BH65" s="1">
        <v>1029560184.1199999</v>
      </c>
      <c r="BI65" s="1">
        <v>1029519265.3099999</v>
      </c>
      <c r="BJ65" s="1">
        <v>1028471256.74</v>
      </c>
      <c r="BK65" s="1">
        <v>1070033292.01</v>
      </c>
      <c r="BL65" s="1">
        <v>875387788.89999998</v>
      </c>
      <c r="BM65" s="1">
        <v>1072701361.25</v>
      </c>
      <c r="BN65" s="1">
        <v>898571938.31999981</v>
      </c>
      <c r="BO65" s="1">
        <v>821715718.76999998</v>
      </c>
      <c r="BP65" s="1">
        <v>665770747.1500001</v>
      </c>
      <c r="BQ65" s="1">
        <v>611372472.34000015</v>
      </c>
      <c r="BR65" s="1">
        <v>676065424.74000025</v>
      </c>
      <c r="BS65" s="1">
        <v>1078442127.52</v>
      </c>
      <c r="BT65" s="1">
        <v>1161060707.05</v>
      </c>
      <c r="BU65" s="1">
        <v>1375398291.8500001</v>
      </c>
      <c r="BV65" s="1">
        <v>1314056820.7600002</v>
      </c>
      <c r="BW65" s="1">
        <v>1286243926.4199996</v>
      </c>
      <c r="BX65" s="1">
        <v>1070625059.0699998</v>
      </c>
      <c r="BY65" s="1">
        <v>1264532904.3399997</v>
      </c>
      <c r="BZ65" s="1">
        <v>1103531944.2399995</v>
      </c>
      <c r="CA65" s="1">
        <v>1016698917.6900001</v>
      </c>
      <c r="CB65" s="1">
        <v>847966974.15999997</v>
      </c>
      <c r="CC65" s="1">
        <v>773703868.65999937</v>
      </c>
      <c r="CD65" s="1">
        <v>877957910.5400002</v>
      </c>
      <c r="CE65" s="1">
        <v>1305810953.4100003</v>
      </c>
      <c r="CF65" s="1">
        <v>1445844470.97</v>
      </c>
      <c r="CG65" s="1">
        <v>1532470269.52</v>
      </c>
      <c r="CH65" s="1">
        <v>1491297741.9400001</v>
      </c>
      <c r="CI65" s="1">
        <v>1473948071.7799997</v>
      </c>
      <c r="CJ65" s="1">
        <v>1150508463.6800005</v>
      </c>
      <c r="CK65" s="1">
        <v>1494276828.470001</v>
      </c>
      <c r="CL65" s="1">
        <v>1284273932.2200003</v>
      </c>
      <c r="CM65" s="1">
        <v>1274389413.6199996</v>
      </c>
      <c r="CN65" s="1">
        <v>957108828.78000045</v>
      </c>
      <c r="CO65" s="1">
        <v>862492390.90999997</v>
      </c>
      <c r="CP65" s="1">
        <v>1029422295.4399999</v>
      </c>
      <c r="CQ65" s="1">
        <v>1423138269.7899997</v>
      </c>
      <c r="CR65" s="1">
        <v>1604945179.3599994</v>
      </c>
      <c r="CS65" s="1">
        <v>1656687203.77</v>
      </c>
      <c r="CT65" s="1">
        <v>1441094024.55</v>
      </c>
      <c r="CU65" s="1">
        <v>1433388448.5099998</v>
      </c>
      <c r="CV65" s="1">
        <v>1167568854.8699996</v>
      </c>
      <c r="CW65" s="1">
        <v>1392535928.3599999</v>
      </c>
      <c r="CX65" s="1">
        <v>1205031217.8300002</v>
      </c>
      <c r="CY65" s="1">
        <v>1141572489.9700003</v>
      </c>
      <c r="CZ65" s="1">
        <v>1136479950.8399999</v>
      </c>
      <c r="DA65" s="1">
        <v>1050085023.34</v>
      </c>
      <c r="DB65" s="1">
        <v>1029107308.0700001</v>
      </c>
      <c r="DC65" s="1">
        <v>0</v>
      </c>
      <c r="DD65" s="1">
        <v>0</v>
      </c>
      <c r="DE65" s="1">
        <v>0</v>
      </c>
      <c r="DF65" s="1">
        <v>0</v>
      </c>
      <c r="DH65" s="6">
        <f t="shared" si="2"/>
        <v>69500904430.730026</v>
      </c>
    </row>
    <row r="66" spans="1:112" x14ac:dyDescent="0.2">
      <c r="A66" s="5" t="s">
        <v>14</v>
      </c>
      <c r="B66" s="5" t="s">
        <v>42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>
        <v>8281802.8700000001</v>
      </c>
      <c r="AG66" s="1">
        <v>48524591.969999999</v>
      </c>
      <c r="AH66" s="1">
        <v>123969461.67</v>
      </c>
      <c r="AI66" s="1">
        <v>283082237.56999999</v>
      </c>
      <c r="AJ66" s="1">
        <v>409780226.82999998</v>
      </c>
      <c r="AK66" s="1">
        <v>433694636.25999999</v>
      </c>
      <c r="AL66" s="1">
        <v>491720535.56999999</v>
      </c>
      <c r="AM66" s="1">
        <v>575232465.60000002</v>
      </c>
      <c r="AN66" s="1">
        <v>490203459.84000003</v>
      </c>
      <c r="AO66" s="1">
        <v>609045175.96000004</v>
      </c>
      <c r="AP66" s="1">
        <v>513245932.48000008</v>
      </c>
      <c r="AQ66" s="1">
        <v>482503035.82999998</v>
      </c>
      <c r="AR66" s="1">
        <v>451691935.41000003</v>
      </c>
      <c r="AS66" s="1">
        <v>351400185.90999997</v>
      </c>
      <c r="AT66" s="1">
        <v>380217277.18000001</v>
      </c>
      <c r="AU66" s="1">
        <v>569898893.99000001</v>
      </c>
      <c r="AV66" s="1">
        <v>803449366.34000015</v>
      </c>
      <c r="AW66" s="1">
        <v>745967170.15999997</v>
      </c>
      <c r="AX66" s="1">
        <v>752864250.61000001</v>
      </c>
      <c r="AY66" s="1">
        <v>829112962.07000005</v>
      </c>
      <c r="AZ66" s="1">
        <v>652322787.43000007</v>
      </c>
      <c r="BA66" s="1">
        <v>927534935.48000002</v>
      </c>
      <c r="BB66" s="1">
        <v>810511526.97000015</v>
      </c>
      <c r="BC66" s="1">
        <v>734079087.3499999</v>
      </c>
      <c r="BD66" s="1">
        <v>604956513.13999999</v>
      </c>
      <c r="BE66" s="1">
        <v>496147155.69999999</v>
      </c>
      <c r="BF66" s="1">
        <v>540038147.20000005</v>
      </c>
      <c r="BG66" s="1">
        <v>797704216.02999997</v>
      </c>
      <c r="BH66" s="1">
        <v>989276190.54000008</v>
      </c>
      <c r="BI66" s="1">
        <v>989597521.25</v>
      </c>
      <c r="BJ66" s="1">
        <v>990965302.56000006</v>
      </c>
      <c r="BK66" s="1">
        <v>1033364498.3999999</v>
      </c>
      <c r="BL66" s="1">
        <v>847357095.77999997</v>
      </c>
      <c r="BM66" s="1">
        <v>1037709907.05</v>
      </c>
      <c r="BN66" s="1">
        <v>869644932.2299999</v>
      </c>
      <c r="BO66" s="1">
        <v>797640859.21000004</v>
      </c>
      <c r="BP66" s="1">
        <v>647721255.36000013</v>
      </c>
      <c r="BQ66" s="1">
        <v>595019127.08999991</v>
      </c>
      <c r="BR66" s="1">
        <v>655552070.30999994</v>
      </c>
      <c r="BS66" s="1">
        <v>1043571794.76</v>
      </c>
      <c r="BT66" s="1">
        <v>1126686970.0500002</v>
      </c>
      <c r="BU66" s="1">
        <v>1337185630.04</v>
      </c>
      <c r="BV66" s="1">
        <v>1274015251.26</v>
      </c>
      <c r="BW66" s="1">
        <v>1248873882.5699997</v>
      </c>
      <c r="BX66" s="1">
        <v>1041183956.01</v>
      </c>
      <c r="BY66" s="1">
        <v>1226393752.02</v>
      </c>
      <c r="BZ66" s="1">
        <v>1071703605.4799999</v>
      </c>
      <c r="CA66" s="1">
        <v>985702525.44000006</v>
      </c>
      <c r="CB66" s="1">
        <v>823548992.27999985</v>
      </c>
      <c r="CC66" s="1">
        <v>753897766.41999972</v>
      </c>
      <c r="CD66" s="1">
        <v>852823982.01000023</v>
      </c>
      <c r="CE66" s="1">
        <v>1270885746.05</v>
      </c>
      <c r="CF66" s="1">
        <v>1409160708.2299998</v>
      </c>
      <c r="CG66" s="1">
        <v>1493271320.3399999</v>
      </c>
      <c r="CH66" s="1">
        <v>1452635256.8500001</v>
      </c>
      <c r="CI66" s="1">
        <v>1437764879.7999997</v>
      </c>
      <c r="CJ66" s="1">
        <v>1123134789.52</v>
      </c>
      <c r="CK66" s="1">
        <v>1461559459.6800003</v>
      </c>
      <c r="CL66" s="1">
        <v>1254554515.3899999</v>
      </c>
      <c r="CM66" s="1">
        <v>1247313501.1300001</v>
      </c>
      <c r="CN66" s="1">
        <v>935079439.4200002</v>
      </c>
      <c r="CO66" s="1">
        <v>843925852.85000002</v>
      </c>
      <c r="CP66" s="1">
        <v>1004580265.91</v>
      </c>
      <c r="CQ66" s="1">
        <v>1387508583.0500004</v>
      </c>
      <c r="CR66" s="1">
        <v>1567754083.74</v>
      </c>
      <c r="CS66" s="1">
        <v>1618631789.2200007</v>
      </c>
      <c r="CT66" s="1">
        <v>1409335595.1299996</v>
      </c>
      <c r="CU66" s="1">
        <v>1403565389.6799994</v>
      </c>
      <c r="CV66" s="1">
        <v>1142317289.6399999</v>
      </c>
      <c r="CW66" s="1">
        <v>1365285439.5700002</v>
      </c>
      <c r="CX66" s="1">
        <v>1184722811.9299998</v>
      </c>
      <c r="CY66" s="1">
        <v>1121315502.02</v>
      </c>
      <c r="CZ66" s="1">
        <v>1121596372.8100002</v>
      </c>
      <c r="DA66" s="1">
        <v>1036194554.7799999</v>
      </c>
      <c r="DB66" s="1">
        <v>1013341716.4200002</v>
      </c>
      <c r="DC66" s="1">
        <v>0</v>
      </c>
      <c r="DD66" s="1">
        <v>0</v>
      </c>
      <c r="DE66" s="1">
        <v>0</v>
      </c>
      <c r="DF66" s="1">
        <v>0</v>
      </c>
      <c r="DH66" s="6">
        <f t="shared" ref="DH66:DH129" si="33">SUM(C66:DF66)</f>
        <v>67462051704.699989</v>
      </c>
    </row>
    <row r="67" spans="1:112" x14ac:dyDescent="0.2">
      <c r="A67" s="5" t="s">
        <v>14</v>
      </c>
      <c r="B67" s="5" t="s">
        <v>43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>
        <f t="shared" ref="AC67:BN67" si="34">AC65-AC66</f>
        <v>997739.13</v>
      </c>
      <c r="AD67" s="1">
        <f t="shared" si="34"/>
        <v>0</v>
      </c>
      <c r="AE67" s="1">
        <f t="shared" si="34"/>
        <v>0</v>
      </c>
      <c r="AF67" s="1">
        <f t="shared" si="34"/>
        <v>0</v>
      </c>
      <c r="AG67" s="1">
        <f t="shared" si="34"/>
        <v>4000020.4099999964</v>
      </c>
      <c r="AH67" s="1">
        <f t="shared" si="34"/>
        <v>16096186.939999983</v>
      </c>
      <c r="AI67" s="1">
        <f t="shared" si="34"/>
        <v>22141700.679999948</v>
      </c>
      <c r="AJ67" s="1">
        <f t="shared" si="34"/>
        <v>24786876.179999888</v>
      </c>
      <c r="AK67" s="1">
        <f t="shared" si="34"/>
        <v>15544525.579999924</v>
      </c>
      <c r="AL67" s="1">
        <f t="shared" si="34"/>
        <v>0</v>
      </c>
      <c r="AM67" s="1">
        <f t="shared" si="34"/>
        <v>6320834.2599999905</v>
      </c>
      <c r="AN67" s="1">
        <f t="shared" si="34"/>
        <v>19591131.839999974</v>
      </c>
      <c r="AO67" s="1">
        <f t="shared" si="34"/>
        <v>24569780.889999986</v>
      </c>
      <c r="AP67" s="1">
        <f t="shared" si="34"/>
        <v>23912790.859999955</v>
      </c>
      <c r="AQ67" s="1">
        <f t="shared" si="34"/>
        <v>24776725.410000026</v>
      </c>
      <c r="AR67" s="1">
        <f t="shared" si="34"/>
        <v>24825374.099999964</v>
      </c>
      <c r="AS67" s="1">
        <f t="shared" si="34"/>
        <v>17734634.340000033</v>
      </c>
      <c r="AT67" s="1">
        <f t="shared" si="34"/>
        <v>20142483.120000005</v>
      </c>
      <c r="AU67" s="1">
        <f t="shared" si="34"/>
        <v>26556799.5</v>
      </c>
      <c r="AV67" s="1">
        <f t="shared" si="34"/>
        <v>36991067.98999989</v>
      </c>
      <c r="AW67" s="1">
        <f t="shared" si="34"/>
        <v>33886196.769999981</v>
      </c>
      <c r="AX67" s="1">
        <f t="shared" si="34"/>
        <v>36736096.75</v>
      </c>
      <c r="AY67" s="1">
        <f t="shared" si="34"/>
        <v>38392532.700000048</v>
      </c>
      <c r="AZ67" s="1">
        <f t="shared" si="34"/>
        <v>27051411.099999905</v>
      </c>
      <c r="BA67" s="1">
        <f t="shared" si="34"/>
        <v>43743453.25999999</v>
      </c>
      <c r="BB67" s="1">
        <f t="shared" si="34"/>
        <v>28875354.999999762</v>
      </c>
      <c r="BC67" s="1">
        <f t="shared" si="34"/>
        <v>30512669.710000038</v>
      </c>
      <c r="BD67" s="1">
        <f t="shared" si="34"/>
        <v>23503009.2299999</v>
      </c>
      <c r="BE67" s="1">
        <f t="shared" si="34"/>
        <v>20267563.569999993</v>
      </c>
      <c r="BF67" s="1">
        <f t="shared" si="34"/>
        <v>24799262.230000019</v>
      </c>
      <c r="BG67" s="1">
        <f t="shared" si="34"/>
        <v>34101773.809999943</v>
      </c>
      <c r="BH67" s="1">
        <f t="shared" si="34"/>
        <v>40283993.579999804</v>
      </c>
      <c r="BI67" s="1">
        <f t="shared" si="34"/>
        <v>39921744.059999943</v>
      </c>
      <c r="BJ67" s="1">
        <f t="shared" si="34"/>
        <v>37505954.179999948</v>
      </c>
      <c r="BK67" s="1">
        <f t="shared" si="34"/>
        <v>36668793.610000134</v>
      </c>
      <c r="BL67" s="1">
        <f t="shared" si="34"/>
        <v>28030693.120000005</v>
      </c>
      <c r="BM67" s="1">
        <f t="shared" si="34"/>
        <v>34991454.200000048</v>
      </c>
      <c r="BN67" s="1">
        <f t="shared" si="34"/>
        <v>28927006.089999914</v>
      </c>
      <c r="BO67" s="1">
        <f>BO65-BO66</f>
        <v>24074859.559999943</v>
      </c>
      <c r="BP67" s="1">
        <f t="shared" ref="BP67:CC67" si="35">BP65-BP66</f>
        <v>18049491.789999962</v>
      </c>
      <c r="BQ67" s="1">
        <f t="shared" si="35"/>
        <v>16353345.250000238</v>
      </c>
      <c r="BR67" s="1">
        <f t="shared" si="35"/>
        <v>20513354.430000305</v>
      </c>
      <c r="BS67" s="1">
        <f t="shared" si="35"/>
        <v>34870332.75999999</v>
      </c>
      <c r="BT67" s="1">
        <f t="shared" si="35"/>
        <v>34373736.999999762</v>
      </c>
      <c r="BU67" s="1">
        <f t="shared" si="35"/>
        <v>38212661.810000181</v>
      </c>
      <c r="BV67" s="1">
        <f t="shared" si="35"/>
        <v>40041569.500000238</v>
      </c>
      <c r="BW67" s="1">
        <f t="shared" si="35"/>
        <v>37370043.849999905</v>
      </c>
      <c r="BX67" s="1">
        <f t="shared" si="35"/>
        <v>29441103.059999824</v>
      </c>
      <c r="BY67" s="1">
        <f t="shared" si="35"/>
        <v>38139152.319999695</v>
      </c>
      <c r="BZ67" s="1">
        <f t="shared" si="35"/>
        <v>31828338.759999633</v>
      </c>
      <c r="CA67" s="1">
        <f t="shared" si="35"/>
        <v>30996392.25</v>
      </c>
      <c r="CB67" s="1">
        <f t="shared" si="35"/>
        <v>24417981.880000114</v>
      </c>
      <c r="CC67" s="1">
        <f t="shared" si="35"/>
        <v>19806102.239999652</v>
      </c>
      <c r="CD67" s="1">
        <f>CD65-CD66</f>
        <v>25133928.529999971</v>
      </c>
      <c r="CE67" s="1">
        <f>CE65-CE66</f>
        <v>34925207.360000372</v>
      </c>
      <c r="CF67" s="1">
        <f>CF65-CF66</f>
        <v>36683762.740000248</v>
      </c>
      <c r="CG67" s="1">
        <f>CG65-CG66</f>
        <v>39198949.180000067</v>
      </c>
      <c r="CH67" s="1">
        <f>CH65-CH66</f>
        <v>38662485.089999914</v>
      </c>
      <c r="CI67" s="1">
        <f t="shared" ref="CI67:DF67" si="36">CI65-CI66</f>
        <v>36183191.980000019</v>
      </c>
      <c r="CJ67" s="1">
        <f t="shared" si="36"/>
        <v>27373674.160000563</v>
      </c>
      <c r="CK67" s="1">
        <f t="shared" si="36"/>
        <v>32717368.790000677</v>
      </c>
      <c r="CL67" s="1">
        <f t="shared" si="36"/>
        <v>29719416.830000401</v>
      </c>
      <c r="CM67" s="1">
        <f t="shared" si="36"/>
        <v>27075912.489999533</v>
      </c>
      <c r="CN67" s="1">
        <f t="shared" si="36"/>
        <v>22029389.360000253</v>
      </c>
      <c r="CO67" s="1">
        <f t="shared" si="36"/>
        <v>18566538.059999943</v>
      </c>
      <c r="CP67" s="1">
        <f t="shared" si="36"/>
        <v>24842029.529999971</v>
      </c>
      <c r="CQ67" s="1">
        <f t="shared" si="36"/>
        <v>35629686.739999294</v>
      </c>
      <c r="CR67" s="1">
        <f t="shared" si="36"/>
        <v>37191095.619999409</v>
      </c>
      <c r="CS67" s="1">
        <f t="shared" si="36"/>
        <v>38055414.549999237</v>
      </c>
      <c r="CT67" s="1">
        <f t="shared" si="36"/>
        <v>31758429.420000315</v>
      </c>
      <c r="CU67" s="1">
        <f t="shared" si="36"/>
        <v>29823058.830000401</v>
      </c>
      <c r="CV67" s="1">
        <f t="shared" si="36"/>
        <v>25251565.229999781</v>
      </c>
      <c r="CW67" s="1">
        <f t="shared" si="36"/>
        <v>27250488.789999723</v>
      </c>
      <c r="CX67" s="1">
        <f t="shared" si="36"/>
        <v>20308405.900000334</v>
      </c>
      <c r="CY67" s="1">
        <f t="shared" si="36"/>
        <v>20256987.950000286</v>
      </c>
      <c r="CZ67" s="1">
        <f t="shared" si="36"/>
        <v>14883578.029999733</v>
      </c>
      <c r="DA67" s="1">
        <f t="shared" si="36"/>
        <v>13890468.560000181</v>
      </c>
      <c r="DB67" s="1">
        <f t="shared" si="36"/>
        <v>15765591.649999857</v>
      </c>
      <c r="DC67" s="1">
        <f t="shared" si="36"/>
        <v>0</v>
      </c>
      <c r="DD67" s="1">
        <f t="shared" si="36"/>
        <v>0</v>
      </c>
      <c r="DE67" s="1">
        <f t="shared" si="36"/>
        <v>0</v>
      </c>
      <c r="DF67" s="1">
        <f t="shared" si="36"/>
        <v>0</v>
      </c>
      <c r="DH67" s="6">
        <f t="shared" si="33"/>
        <v>2038852726.029999</v>
      </c>
    </row>
    <row r="68" spans="1:112" x14ac:dyDescent="0.2">
      <c r="A68" s="5" t="s">
        <v>14</v>
      </c>
      <c r="B68" s="5" t="s">
        <v>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>
        <v>72027.759999999995</v>
      </c>
      <c r="AD68" s="1">
        <v>0</v>
      </c>
      <c r="AE68" s="1">
        <v>0</v>
      </c>
      <c r="AF68" s="1">
        <v>368651.21</v>
      </c>
      <c r="AG68" s="1">
        <v>3623984.95</v>
      </c>
      <c r="AH68" s="1">
        <v>7233359.8700000001</v>
      </c>
      <c r="AI68" s="1">
        <v>6837289.0800000001</v>
      </c>
      <c r="AJ68" s="1">
        <v>42200300.030000001</v>
      </c>
      <c r="AK68" s="1">
        <v>41286027.040000007</v>
      </c>
      <c r="AL68" s="1">
        <v>23873152.219999999</v>
      </c>
      <c r="AM68" s="1">
        <v>47945297.549999997</v>
      </c>
      <c r="AN68" s="1">
        <v>35393767.730000004</v>
      </c>
      <c r="AO68" s="1">
        <v>44317702.430000007</v>
      </c>
      <c r="AP68" s="1">
        <v>43605926.030000001</v>
      </c>
      <c r="AQ68" s="1">
        <v>36230990.079999998</v>
      </c>
      <c r="AR68" s="1">
        <v>47517214.939999998</v>
      </c>
      <c r="AS68" s="1">
        <v>37611593.530000001</v>
      </c>
      <c r="AT68" s="1">
        <v>26849155.02</v>
      </c>
      <c r="AU68" s="1">
        <v>39991465.910000004</v>
      </c>
      <c r="AV68" s="1">
        <v>52596843.689999998</v>
      </c>
      <c r="AW68" s="1">
        <v>79327385.25</v>
      </c>
      <c r="AX68" s="1">
        <v>33685290.57</v>
      </c>
      <c r="AY68" s="1">
        <v>66219203.640000001</v>
      </c>
      <c r="AZ68" s="1">
        <v>35600084.709999993</v>
      </c>
      <c r="BA68" s="1">
        <v>60629327.380000003</v>
      </c>
      <c r="BB68" s="1">
        <v>70462360.099999994</v>
      </c>
      <c r="BC68" s="1">
        <v>67466566.960000008</v>
      </c>
      <c r="BD68" s="1">
        <v>40866946.340000004</v>
      </c>
      <c r="BE68" s="1">
        <v>46080135.759999998</v>
      </c>
      <c r="BF68" s="1">
        <v>47788939.82</v>
      </c>
      <c r="BG68" s="1">
        <v>78416645.640000001</v>
      </c>
      <c r="BH68" s="1">
        <v>102088547.91000001</v>
      </c>
      <c r="BI68" s="1">
        <v>96969200.789999992</v>
      </c>
      <c r="BJ68" s="1">
        <v>82403726.600000009</v>
      </c>
      <c r="BK68" s="1">
        <v>96011984.13000001</v>
      </c>
      <c r="BL68" s="1">
        <v>68423067.010000005</v>
      </c>
      <c r="BM68" s="1">
        <v>97159641.890000001</v>
      </c>
      <c r="BN68" s="1">
        <v>89516010.829999983</v>
      </c>
      <c r="BO68" s="1">
        <v>89047614.110000014</v>
      </c>
      <c r="BP68" s="1">
        <v>54669871.68</v>
      </c>
      <c r="BQ68" s="1">
        <v>60411924.990000002</v>
      </c>
      <c r="BR68" s="1">
        <v>46939344.150000006</v>
      </c>
      <c r="BS68" s="1">
        <v>86222260.169999987</v>
      </c>
      <c r="BT68" s="1">
        <v>112740763.91000001</v>
      </c>
      <c r="BU68" s="1">
        <v>72704586.879999995</v>
      </c>
      <c r="BV68" s="1">
        <v>128430319.16999999</v>
      </c>
      <c r="BW68" s="1">
        <v>135231590.18000004</v>
      </c>
      <c r="BX68" s="1">
        <v>83536412.229999989</v>
      </c>
      <c r="BY68" s="1">
        <v>99420016.190000013</v>
      </c>
      <c r="BZ68" s="1">
        <v>91955652.150000006</v>
      </c>
      <c r="CA68" s="1">
        <v>100885704.47999999</v>
      </c>
      <c r="CB68" s="1">
        <v>94619839.36999999</v>
      </c>
      <c r="CC68" s="1">
        <v>71317182.87999998</v>
      </c>
      <c r="CD68" s="1">
        <v>59169810.939999998</v>
      </c>
      <c r="CE68" s="1">
        <v>136442000.05000001</v>
      </c>
      <c r="CF68" s="1">
        <v>81351388.310000017</v>
      </c>
      <c r="CG68" s="1">
        <v>154606065.32999998</v>
      </c>
      <c r="CH68" s="1">
        <v>105685978.41999999</v>
      </c>
      <c r="CI68" s="1">
        <v>146835468.69</v>
      </c>
      <c r="CJ68" s="1">
        <v>128034091.03</v>
      </c>
      <c r="CK68" s="1">
        <v>95479075.87999998</v>
      </c>
      <c r="CL68" s="1">
        <v>108606963.36</v>
      </c>
      <c r="CM68" s="1">
        <v>120933145.97</v>
      </c>
      <c r="CN68" s="1">
        <v>113926183.89999999</v>
      </c>
      <c r="CO68" s="1">
        <v>89691309.310000002</v>
      </c>
      <c r="CP68" s="1">
        <v>107796774.38</v>
      </c>
      <c r="CQ68" s="1">
        <v>100690275.75000001</v>
      </c>
      <c r="CR68" s="1">
        <v>135014114.31</v>
      </c>
      <c r="CS68" s="1">
        <v>169061221.79000005</v>
      </c>
      <c r="CT68" s="1">
        <v>160541796.37999997</v>
      </c>
      <c r="CU68" s="1">
        <v>138464344.71000001</v>
      </c>
      <c r="CV68" s="1">
        <v>109249115.12</v>
      </c>
      <c r="CW68" s="1">
        <v>129153767.2</v>
      </c>
      <c r="CX68" s="1">
        <v>128973376.66999999</v>
      </c>
      <c r="CY68" s="1">
        <v>118897959.83</v>
      </c>
      <c r="CZ68" s="1">
        <v>90856072.689999998</v>
      </c>
      <c r="DA68" s="1">
        <v>116536134.55</v>
      </c>
      <c r="DB68" s="1">
        <v>76322466.099999979</v>
      </c>
      <c r="DC68" s="1">
        <v>0</v>
      </c>
      <c r="DD68" s="1">
        <v>0</v>
      </c>
      <c r="DE68" s="1">
        <v>0</v>
      </c>
      <c r="DF68" s="1">
        <v>0</v>
      </c>
      <c r="DH68" s="6">
        <f t="shared" si="33"/>
        <v>6047121797.6100016</v>
      </c>
    </row>
    <row r="69" spans="1:112" x14ac:dyDescent="0.2">
      <c r="A69" s="5" t="s">
        <v>14</v>
      </c>
      <c r="B69" s="5" t="s">
        <v>44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368651.21</v>
      </c>
      <c r="AG69" s="1">
        <v>3342852.88</v>
      </c>
      <c r="AH69" s="1">
        <v>6035254.4900000002</v>
      </c>
      <c r="AI69" s="1">
        <v>5378620.3200000003</v>
      </c>
      <c r="AJ69" s="1">
        <v>39029487.219999999</v>
      </c>
      <c r="AK69" s="1">
        <v>39660826.780000001</v>
      </c>
      <c r="AL69" s="1">
        <v>23775236.379999999</v>
      </c>
      <c r="AM69" s="1">
        <v>47084905.549999997</v>
      </c>
      <c r="AN69" s="1">
        <v>33286796.640000001</v>
      </c>
      <c r="AO69" s="1">
        <v>42138614.770000003</v>
      </c>
      <c r="AP69" s="1">
        <v>40926932.5</v>
      </c>
      <c r="AQ69" s="1">
        <v>34362466</v>
      </c>
      <c r="AR69" s="1">
        <v>44487568.18</v>
      </c>
      <c r="AS69" s="1">
        <v>35872439.18</v>
      </c>
      <c r="AT69" s="1">
        <v>25540935.920000002</v>
      </c>
      <c r="AU69" s="1">
        <v>37597675.700000003</v>
      </c>
      <c r="AV69" s="1">
        <v>50389890.43</v>
      </c>
      <c r="AW69" s="1">
        <v>74302786.870000005</v>
      </c>
      <c r="AX69" s="1">
        <v>32835900.899999999</v>
      </c>
      <c r="AY69" s="1">
        <v>63271206.710000001</v>
      </c>
      <c r="AZ69" s="1">
        <v>34407737.950000003</v>
      </c>
      <c r="BA69" s="1">
        <v>57321097.819999993</v>
      </c>
      <c r="BB69" s="1">
        <v>68852133.00999999</v>
      </c>
      <c r="BC69" s="1">
        <v>64063502.219999999</v>
      </c>
      <c r="BD69" s="1">
        <v>39063067.039999999</v>
      </c>
      <c r="BE69" s="1">
        <v>44210945.170000002</v>
      </c>
      <c r="BF69" s="1">
        <v>45360344.370000005</v>
      </c>
      <c r="BG69" s="1">
        <v>76094359.780000001</v>
      </c>
      <c r="BH69" s="1">
        <v>96055354.799999982</v>
      </c>
      <c r="BI69" s="1">
        <v>93395095.719999999</v>
      </c>
      <c r="BJ69" s="1">
        <v>79390200.790000007</v>
      </c>
      <c r="BK69" s="1">
        <v>92911017.319999993</v>
      </c>
      <c r="BL69" s="1">
        <v>66166476.440000005</v>
      </c>
      <c r="BM69" s="1">
        <v>94149742.75999999</v>
      </c>
      <c r="BN69" s="1">
        <v>87077055.209999979</v>
      </c>
      <c r="BO69" s="1">
        <v>85827726.629999995</v>
      </c>
      <c r="BP69" s="1">
        <v>53023197.510000005</v>
      </c>
      <c r="BQ69" s="1">
        <v>58644646.299999997</v>
      </c>
      <c r="BR69" s="1">
        <v>45400232.529999994</v>
      </c>
      <c r="BS69" s="1">
        <v>83369497.279999986</v>
      </c>
      <c r="BT69" s="1">
        <v>108849489.84</v>
      </c>
      <c r="BU69" s="1">
        <v>70498805.519999996</v>
      </c>
      <c r="BV69" s="1">
        <v>123888703.81999999</v>
      </c>
      <c r="BW69" s="1">
        <v>131640418.67999999</v>
      </c>
      <c r="BX69" s="1">
        <v>82212821.61999999</v>
      </c>
      <c r="BY69" s="1">
        <v>97032739.219999999</v>
      </c>
      <c r="BZ69" s="1">
        <v>90358747.810000002</v>
      </c>
      <c r="CA69" s="1">
        <v>98134835.079999998</v>
      </c>
      <c r="CB69" s="1">
        <v>92498204.569999993</v>
      </c>
      <c r="CC69" s="1">
        <v>70057950.439999983</v>
      </c>
      <c r="CD69" s="1">
        <v>57829854.399999991</v>
      </c>
      <c r="CE69" s="1">
        <v>132574412.87</v>
      </c>
      <c r="CF69" s="1">
        <v>79769609.790000021</v>
      </c>
      <c r="CG69" s="1">
        <v>151340660.94999999</v>
      </c>
      <c r="CH69" s="1">
        <v>104745626.31999999</v>
      </c>
      <c r="CI69" s="1">
        <v>143067020.88</v>
      </c>
      <c r="CJ69" s="1">
        <v>125744865.56</v>
      </c>
      <c r="CK69" s="1">
        <v>93697704.699999988</v>
      </c>
      <c r="CL69" s="1">
        <v>106693510.62</v>
      </c>
      <c r="CM69" s="1">
        <v>118610932.32999998</v>
      </c>
      <c r="CN69" s="1">
        <v>111612283.05000001</v>
      </c>
      <c r="CO69" s="1">
        <v>87716198.570000008</v>
      </c>
      <c r="CP69" s="1">
        <v>105874604.73</v>
      </c>
      <c r="CQ69" s="1">
        <v>98558649.590000004</v>
      </c>
      <c r="CR69" s="1">
        <v>131942252.63999999</v>
      </c>
      <c r="CS69" s="1">
        <v>165956175.30000001</v>
      </c>
      <c r="CT69" s="1">
        <v>156822956.77000001</v>
      </c>
      <c r="CU69" s="1">
        <v>136999365.17999998</v>
      </c>
      <c r="CV69" s="1">
        <v>108060774.09999999</v>
      </c>
      <c r="CW69" s="1">
        <v>127328857.3</v>
      </c>
      <c r="CX69" s="1">
        <v>127224504.34</v>
      </c>
      <c r="CY69" s="1">
        <v>116943934.90999998</v>
      </c>
      <c r="CZ69" s="1">
        <v>89412822.620000005</v>
      </c>
      <c r="DA69" s="1">
        <v>114939573.73999999</v>
      </c>
      <c r="DB69" s="1">
        <v>75198625.900000006</v>
      </c>
      <c r="DC69" s="1">
        <v>0</v>
      </c>
      <c r="DD69" s="1">
        <v>0</v>
      </c>
      <c r="DE69" s="1">
        <v>0</v>
      </c>
      <c r="DF69" s="1">
        <v>0</v>
      </c>
      <c r="DH69" s="6">
        <f t="shared" si="33"/>
        <v>5878310973.04</v>
      </c>
    </row>
    <row r="70" spans="1:112" x14ac:dyDescent="0.2">
      <c r="A70" s="5" t="s">
        <v>14</v>
      </c>
      <c r="B70" s="5" t="s">
        <v>45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>
        <f t="shared" ref="AC70:CN70" si="37">AC68-AC69</f>
        <v>72027.759999999995</v>
      </c>
      <c r="AD70" s="1">
        <f t="shared" si="37"/>
        <v>0</v>
      </c>
      <c r="AE70" s="1">
        <f t="shared" si="37"/>
        <v>0</v>
      </c>
      <c r="AF70" s="1">
        <f t="shared" si="37"/>
        <v>0</v>
      </c>
      <c r="AG70" s="1">
        <f t="shared" si="37"/>
        <v>281132.0700000003</v>
      </c>
      <c r="AH70" s="1">
        <f t="shared" si="37"/>
        <v>1198105.3799999999</v>
      </c>
      <c r="AI70" s="1">
        <f t="shared" si="37"/>
        <v>1458668.7599999998</v>
      </c>
      <c r="AJ70" s="1">
        <f t="shared" si="37"/>
        <v>3170812.8100000024</v>
      </c>
      <c r="AK70" s="1">
        <f t="shared" si="37"/>
        <v>1625200.2600000054</v>
      </c>
      <c r="AL70" s="1">
        <f t="shared" si="37"/>
        <v>97915.839999999851</v>
      </c>
      <c r="AM70" s="1">
        <f t="shared" si="37"/>
        <v>860392</v>
      </c>
      <c r="AN70" s="1">
        <f t="shared" si="37"/>
        <v>2106971.0900000036</v>
      </c>
      <c r="AO70" s="1">
        <f t="shared" si="37"/>
        <v>2179087.6600000039</v>
      </c>
      <c r="AP70" s="1">
        <f t="shared" si="37"/>
        <v>2678993.5300000012</v>
      </c>
      <c r="AQ70" s="1">
        <f t="shared" si="37"/>
        <v>1868524.0799999982</v>
      </c>
      <c r="AR70" s="1">
        <f t="shared" si="37"/>
        <v>3029646.7599999979</v>
      </c>
      <c r="AS70" s="1">
        <f t="shared" si="37"/>
        <v>1739154.3500000015</v>
      </c>
      <c r="AT70" s="1">
        <f t="shared" si="37"/>
        <v>1308219.0999999978</v>
      </c>
      <c r="AU70" s="1">
        <f t="shared" si="37"/>
        <v>2393790.2100000009</v>
      </c>
      <c r="AV70" s="1">
        <f t="shared" si="37"/>
        <v>2206953.2599999979</v>
      </c>
      <c r="AW70" s="1">
        <f t="shared" si="37"/>
        <v>5024598.3799999952</v>
      </c>
      <c r="AX70" s="1">
        <f t="shared" si="37"/>
        <v>849389.67000000179</v>
      </c>
      <c r="AY70" s="1">
        <f t="shared" si="37"/>
        <v>2947996.9299999997</v>
      </c>
      <c r="AZ70" s="1">
        <f t="shared" si="37"/>
        <v>1192346.7599999905</v>
      </c>
      <c r="BA70" s="1">
        <f t="shared" si="37"/>
        <v>3308229.5600000098</v>
      </c>
      <c r="BB70" s="1">
        <f t="shared" si="37"/>
        <v>1610227.0900000036</v>
      </c>
      <c r="BC70" s="1">
        <f t="shared" si="37"/>
        <v>3403064.7400000095</v>
      </c>
      <c r="BD70" s="1">
        <f t="shared" si="37"/>
        <v>1803879.3000000045</v>
      </c>
      <c r="BE70" s="1">
        <f t="shared" si="37"/>
        <v>1869190.5899999961</v>
      </c>
      <c r="BF70" s="1">
        <f t="shared" si="37"/>
        <v>2428595.4499999955</v>
      </c>
      <c r="BG70" s="1">
        <f t="shared" si="37"/>
        <v>2322285.8599999994</v>
      </c>
      <c r="BH70" s="1">
        <f t="shared" si="37"/>
        <v>6033193.1100000292</v>
      </c>
      <c r="BI70" s="1">
        <f t="shared" si="37"/>
        <v>3574105.0699999928</v>
      </c>
      <c r="BJ70" s="1">
        <f t="shared" si="37"/>
        <v>3013525.8100000024</v>
      </c>
      <c r="BK70" s="1">
        <f t="shared" si="37"/>
        <v>3100966.8100000173</v>
      </c>
      <c r="BL70" s="1">
        <f t="shared" si="37"/>
        <v>2256590.5700000003</v>
      </c>
      <c r="BM70" s="1">
        <f t="shared" si="37"/>
        <v>3009899.1300000101</v>
      </c>
      <c r="BN70" s="1">
        <f t="shared" si="37"/>
        <v>2438955.6200000048</v>
      </c>
      <c r="BO70" s="1">
        <f t="shared" si="37"/>
        <v>3219887.4800000191</v>
      </c>
      <c r="BP70" s="1">
        <f t="shared" si="37"/>
        <v>1646674.1699999943</v>
      </c>
      <c r="BQ70" s="1">
        <f t="shared" si="37"/>
        <v>1767278.6900000051</v>
      </c>
      <c r="BR70" s="1">
        <f t="shared" si="37"/>
        <v>1539111.6200000122</v>
      </c>
      <c r="BS70" s="1">
        <f t="shared" si="37"/>
        <v>2852762.8900000006</v>
      </c>
      <c r="BT70" s="1">
        <f t="shared" si="37"/>
        <v>3891274.0700000077</v>
      </c>
      <c r="BU70" s="1">
        <f t="shared" si="37"/>
        <v>2205781.3599999994</v>
      </c>
      <c r="BV70" s="1">
        <f t="shared" si="37"/>
        <v>4541615.349999994</v>
      </c>
      <c r="BW70" s="1">
        <f t="shared" si="37"/>
        <v>3591171.5000000447</v>
      </c>
      <c r="BX70" s="1">
        <f t="shared" si="37"/>
        <v>1323590.6099999994</v>
      </c>
      <c r="BY70" s="1">
        <f t="shared" si="37"/>
        <v>2387276.9700000137</v>
      </c>
      <c r="BZ70" s="1">
        <f t="shared" si="37"/>
        <v>1596904.3400000036</v>
      </c>
      <c r="CA70" s="1">
        <f t="shared" si="37"/>
        <v>2750869.3999999911</v>
      </c>
      <c r="CB70" s="1">
        <f t="shared" si="37"/>
        <v>2121634.799999997</v>
      </c>
      <c r="CC70" s="1">
        <f t="shared" si="37"/>
        <v>1259232.4399999976</v>
      </c>
      <c r="CD70" s="1">
        <f t="shared" si="37"/>
        <v>1339956.5400000066</v>
      </c>
      <c r="CE70" s="1">
        <f t="shared" si="37"/>
        <v>3867587.1800000072</v>
      </c>
      <c r="CF70" s="1">
        <f t="shared" si="37"/>
        <v>1581778.5199999958</v>
      </c>
      <c r="CG70" s="1">
        <f t="shared" si="37"/>
        <v>3265404.3799999952</v>
      </c>
      <c r="CH70" s="1">
        <f t="shared" si="37"/>
        <v>940352.09999999404</v>
      </c>
      <c r="CI70" s="1">
        <f t="shared" si="37"/>
        <v>3768447.8100000024</v>
      </c>
      <c r="CJ70" s="1">
        <f t="shared" si="37"/>
        <v>2289225.4699999988</v>
      </c>
      <c r="CK70" s="1">
        <f t="shared" si="37"/>
        <v>1781371.1799999923</v>
      </c>
      <c r="CL70" s="1">
        <f t="shared" si="37"/>
        <v>1913452.7399999946</v>
      </c>
      <c r="CM70" s="1">
        <f t="shared" si="37"/>
        <v>2322213.6400000155</v>
      </c>
      <c r="CN70" s="1">
        <f t="shared" si="37"/>
        <v>2313900.8499999791</v>
      </c>
      <c r="CO70" s="1">
        <f t="shared" ref="CO70:DF70" si="38">CO68-CO69</f>
        <v>1975110.7399999946</v>
      </c>
      <c r="CP70" s="1">
        <f t="shared" si="38"/>
        <v>1922169.6499999911</v>
      </c>
      <c r="CQ70" s="1">
        <f t="shared" si="38"/>
        <v>2131626.1600000113</v>
      </c>
      <c r="CR70" s="1">
        <f t="shared" si="38"/>
        <v>3071861.6700000167</v>
      </c>
      <c r="CS70" s="1">
        <f t="shared" si="38"/>
        <v>3105046.4900000393</v>
      </c>
      <c r="CT70" s="1">
        <f t="shared" si="38"/>
        <v>3718839.6099999547</v>
      </c>
      <c r="CU70" s="1">
        <f t="shared" si="38"/>
        <v>1464979.530000031</v>
      </c>
      <c r="CV70" s="1">
        <f t="shared" si="38"/>
        <v>1188341.0200000107</v>
      </c>
      <c r="CW70" s="1">
        <f t="shared" si="38"/>
        <v>1824909.900000006</v>
      </c>
      <c r="CX70" s="1">
        <f t="shared" si="38"/>
        <v>1748872.3299999833</v>
      </c>
      <c r="CY70" s="1">
        <f t="shared" si="38"/>
        <v>1954024.9200000167</v>
      </c>
      <c r="CZ70" s="1">
        <f t="shared" si="38"/>
        <v>1443250.0699999928</v>
      </c>
      <c r="DA70" s="1">
        <f t="shared" si="38"/>
        <v>1596560.8100000024</v>
      </c>
      <c r="DB70" s="1">
        <f t="shared" si="38"/>
        <v>1123840.1999999732</v>
      </c>
      <c r="DC70" s="1">
        <f t="shared" si="38"/>
        <v>0</v>
      </c>
      <c r="DD70" s="1">
        <f t="shared" si="38"/>
        <v>0</v>
      </c>
      <c r="DE70" s="1">
        <f t="shared" si="38"/>
        <v>0</v>
      </c>
      <c r="DF70" s="1">
        <f t="shared" si="38"/>
        <v>0</v>
      </c>
      <c r="DH70" s="6">
        <f t="shared" si="33"/>
        <v>168810824.57000017</v>
      </c>
    </row>
    <row r="71" spans="1:112" x14ac:dyDescent="0.2">
      <c r="A71" s="5" t="s">
        <v>14</v>
      </c>
      <c r="B71" s="5" t="s">
        <v>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>
        <v>72027.759999999995</v>
      </c>
      <c r="AD71" s="1">
        <v>0</v>
      </c>
      <c r="AE71" s="1">
        <v>0</v>
      </c>
      <c r="AF71" s="1">
        <v>368651.21</v>
      </c>
      <c r="AG71" s="1">
        <v>3623984.95</v>
      </c>
      <c r="AH71" s="1">
        <v>7233359.8700000001</v>
      </c>
      <c r="AI71" s="1">
        <v>6837289.0800000001</v>
      </c>
      <c r="AJ71" s="1">
        <v>42200300.030000001</v>
      </c>
      <c r="AK71" s="1">
        <v>41286027.040000007</v>
      </c>
      <c r="AL71" s="1">
        <v>23873152.219999999</v>
      </c>
      <c r="AM71" s="1">
        <v>47945297.549999997</v>
      </c>
      <c r="AN71" s="1">
        <v>35393767.730000004</v>
      </c>
      <c r="AO71" s="1">
        <v>44317702.430000007</v>
      </c>
      <c r="AP71" s="1">
        <v>43605926.030000001</v>
      </c>
      <c r="AQ71" s="1">
        <v>36230990.079999998</v>
      </c>
      <c r="AR71" s="1">
        <v>47517214.939999998</v>
      </c>
      <c r="AS71" s="1">
        <v>37611593.530000001</v>
      </c>
      <c r="AT71" s="1">
        <v>26849155.02</v>
      </c>
      <c r="AU71" s="1">
        <v>39991465.910000004</v>
      </c>
      <c r="AV71" s="1">
        <v>52596843.689999998</v>
      </c>
      <c r="AW71" s="1">
        <v>79327385.25</v>
      </c>
      <c r="AX71" s="1">
        <v>33685290.57</v>
      </c>
      <c r="AY71" s="1">
        <v>66219203.640000001</v>
      </c>
      <c r="AZ71" s="1">
        <v>35600084.709999993</v>
      </c>
      <c r="BA71" s="1">
        <v>60629327.380000003</v>
      </c>
      <c r="BB71" s="1">
        <v>70462360.099999994</v>
      </c>
      <c r="BC71" s="1">
        <v>67466566.960000008</v>
      </c>
      <c r="BD71" s="1">
        <v>40866946.340000004</v>
      </c>
      <c r="BE71" s="1">
        <v>46080135.759999998</v>
      </c>
      <c r="BF71" s="1">
        <v>47788939.82</v>
      </c>
      <c r="BG71" s="1">
        <v>78416645.640000001</v>
      </c>
      <c r="BH71" s="1">
        <v>102088547.91000001</v>
      </c>
      <c r="BI71" s="1">
        <v>96969200.789999992</v>
      </c>
      <c r="BJ71" s="1">
        <v>82403726.600000009</v>
      </c>
      <c r="BK71" s="1">
        <v>96011984.13000001</v>
      </c>
      <c r="BL71" s="1">
        <v>68423067.010000005</v>
      </c>
      <c r="BM71" s="1">
        <v>97159641.890000001</v>
      </c>
      <c r="BN71" s="1">
        <v>89516010.829999983</v>
      </c>
      <c r="BO71" s="1">
        <v>89047614.110000014</v>
      </c>
      <c r="BP71" s="1">
        <v>54669871.68</v>
      </c>
      <c r="BQ71" s="1">
        <v>60411924.990000002</v>
      </c>
      <c r="BR71" s="1">
        <v>46939344.150000006</v>
      </c>
      <c r="BS71" s="1">
        <v>86222260.169999987</v>
      </c>
      <c r="BT71" s="1">
        <v>112740763.91000001</v>
      </c>
      <c r="BU71" s="1">
        <v>72704586.879999995</v>
      </c>
      <c r="BV71" s="1">
        <v>128430319.16999999</v>
      </c>
      <c r="BW71" s="1">
        <v>135231590.18000004</v>
      </c>
      <c r="BX71" s="1">
        <v>83536412.229999989</v>
      </c>
      <c r="BY71" s="1">
        <v>99420016.190000013</v>
      </c>
      <c r="BZ71" s="1">
        <v>91955652.150000006</v>
      </c>
      <c r="CA71" s="1">
        <v>100885704.47999999</v>
      </c>
      <c r="CB71" s="1">
        <v>94619839.36999999</v>
      </c>
      <c r="CC71" s="1">
        <v>71317182.87999998</v>
      </c>
      <c r="CD71" s="1">
        <v>59169810.939999998</v>
      </c>
      <c r="CE71" s="1">
        <v>136442000.05000001</v>
      </c>
      <c r="CF71" s="1">
        <v>81351388.310000017</v>
      </c>
      <c r="CG71" s="1">
        <v>154606065.32999998</v>
      </c>
      <c r="CH71" s="1">
        <v>105685978.41999999</v>
      </c>
      <c r="CI71" s="1">
        <v>146835468.69</v>
      </c>
      <c r="CJ71" s="1">
        <v>128034091.03</v>
      </c>
      <c r="CK71" s="1">
        <v>95479075.87999998</v>
      </c>
      <c r="CL71" s="1">
        <v>108606963.36</v>
      </c>
      <c r="CM71" s="1">
        <v>120933145.97</v>
      </c>
      <c r="CN71" s="1">
        <v>113926183.89999999</v>
      </c>
      <c r="CO71" s="1">
        <v>89691309.310000002</v>
      </c>
      <c r="CP71" s="1">
        <v>107796774.38</v>
      </c>
      <c r="CQ71" s="1">
        <v>100690275.75000001</v>
      </c>
      <c r="CR71" s="1">
        <v>135014114.31</v>
      </c>
      <c r="CS71" s="1">
        <v>169061221.79000005</v>
      </c>
      <c r="CT71" s="1">
        <v>160541796.37999997</v>
      </c>
      <c r="CU71" s="1">
        <v>138464344.71000001</v>
      </c>
      <c r="CV71" s="1">
        <v>109249115.12</v>
      </c>
      <c r="CW71" s="1">
        <v>129153767.2</v>
      </c>
      <c r="CX71" s="1">
        <v>128973376.66999999</v>
      </c>
      <c r="CY71" s="1">
        <v>118897959.83</v>
      </c>
      <c r="CZ71" s="1">
        <v>90856072.689999998</v>
      </c>
      <c r="DA71" s="1">
        <v>116536134.55</v>
      </c>
      <c r="DB71" s="1">
        <v>76322466.099999979</v>
      </c>
      <c r="DC71" s="1">
        <v>0</v>
      </c>
      <c r="DD71" s="1">
        <v>0</v>
      </c>
      <c r="DE71" s="1">
        <v>0</v>
      </c>
      <c r="DF71" s="1">
        <v>0</v>
      </c>
      <c r="DH71" s="6">
        <f t="shared" si="33"/>
        <v>6047121797.6100016</v>
      </c>
    </row>
    <row r="72" spans="1:112" x14ac:dyDescent="0.2">
      <c r="A72" s="5" t="s">
        <v>14</v>
      </c>
      <c r="B72" s="5" t="s">
        <v>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>
        <v>12242.32</v>
      </c>
      <c r="AD72" s="1">
        <v>0</v>
      </c>
      <c r="AE72" s="1">
        <v>0</v>
      </c>
      <c r="AF72" s="1">
        <v>59445.78</v>
      </c>
      <c r="AG72" s="1">
        <v>585623.22</v>
      </c>
      <c r="AH72" s="1">
        <v>1176754.23</v>
      </c>
      <c r="AI72" s="1">
        <v>1107905.83</v>
      </c>
      <c r="AJ72" s="1">
        <v>6807284.2499999991</v>
      </c>
      <c r="AK72" s="1">
        <v>6618259.1199999992</v>
      </c>
      <c r="AL72" s="1">
        <v>3823629.15</v>
      </c>
      <c r="AM72" s="1">
        <v>7670847.1000000006</v>
      </c>
      <c r="AN72" s="1">
        <v>5850897.0899999999</v>
      </c>
      <c r="AO72" s="1">
        <v>7141198.0200000005</v>
      </c>
      <c r="AP72" s="1">
        <v>7067988.8900000006</v>
      </c>
      <c r="AQ72" s="1">
        <v>5854318.1500000004</v>
      </c>
      <c r="AR72" s="1">
        <v>7684748.1600000001</v>
      </c>
      <c r="AS72" s="1">
        <v>6058778.5100000007</v>
      </c>
      <c r="AT72" s="1">
        <v>4321831.6000000006</v>
      </c>
      <c r="AU72" s="1">
        <v>6450630.8100000005</v>
      </c>
      <c r="AV72" s="1">
        <v>8459763.8099999987</v>
      </c>
      <c r="AW72" s="1">
        <v>12693514.85</v>
      </c>
      <c r="AX72" s="1">
        <v>5436662.9199999999</v>
      </c>
      <c r="AY72" s="1">
        <v>10687454.699999999</v>
      </c>
      <c r="AZ72" s="1">
        <v>5720366.46</v>
      </c>
      <c r="BA72" s="1">
        <v>9758139.9000000004</v>
      </c>
      <c r="BB72" s="1">
        <v>11321486.629999999</v>
      </c>
      <c r="BC72" s="1">
        <v>10838258.109999999</v>
      </c>
      <c r="BD72" s="1">
        <v>6576948.2700000005</v>
      </c>
      <c r="BE72" s="1">
        <v>7392917.9500000011</v>
      </c>
      <c r="BF72" s="1">
        <v>7694847.040000001</v>
      </c>
      <c r="BG72" s="1">
        <v>12559684.76</v>
      </c>
      <c r="BH72" s="1">
        <v>16350363.290000001</v>
      </c>
      <c r="BI72" s="1">
        <v>15581845.92</v>
      </c>
      <c r="BJ72" s="1">
        <v>13186150.52</v>
      </c>
      <c r="BK72" s="1">
        <v>15410653.369999999</v>
      </c>
      <c r="BL72" s="1">
        <v>10967294.530000001</v>
      </c>
      <c r="BM72" s="1">
        <v>15650984.300000001</v>
      </c>
      <c r="BN72" s="1">
        <v>14429200.559999999</v>
      </c>
      <c r="BO72" s="1">
        <v>14348947.309999999</v>
      </c>
      <c r="BP72" s="1">
        <v>8862040.4899999984</v>
      </c>
      <c r="BQ72" s="1">
        <v>9686790.5199999996</v>
      </c>
      <c r="BR72" s="1">
        <v>7549894.8099999996</v>
      </c>
      <c r="BS72" s="1">
        <v>13858892.810000002</v>
      </c>
      <c r="BT72" s="1">
        <v>18055019.039999995</v>
      </c>
      <c r="BU72" s="1">
        <v>11666914.07</v>
      </c>
      <c r="BV72" s="1">
        <v>20517093.970000003</v>
      </c>
      <c r="BW72" s="1">
        <v>21642278.289999999</v>
      </c>
      <c r="BX72" s="1">
        <v>13452317.25</v>
      </c>
      <c r="BY72" s="1">
        <v>16006616.899999999</v>
      </c>
      <c r="BZ72" s="1">
        <v>14729667.699999999</v>
      </c>
      <c r="CA72" s="1">
        <v>16218547.1</v>
      </c>
      <c r="CB72" s="1">
        <v>15341232.619999997</v>
      </c>
      <c r="CC72" s="1">
        <v>15002645.879999999</v>
      </c>
      <c r="CD72" s="1">
        <v>14274079.980000002</v>
      </c>
      <c r="CE72" s="1">
        <v>38654748.050000004</v>
      </c>
      <c r="CF72" s="1">
        <v>25365065.93</v>
      </c>
      <c r="CG72" s="1">
        <v>49672743.289999999</v>
      </c>
      <c r="CH72" s="1">
        <v>36137702.100000001</v>
      </c>
      <c r="CI72" s="1">
        <v>54048214.350000001</v>
      </c>
      <c r="CJ72" s="1">
        <v>47116812.360000007</v>
      </c>
      <c r="CK72" s="1">
        <v>34651939.880000003</v>
      </c>
      <c r="CL72" s="1">
        <v>39842039.759999998</v>
      </c>
      <c r="CM72" s="1">
        <v>45177871.879999995</v>
      </c>
      <c r="CN72" s="1">
        <v>42747622.869999997</v>
      </c>
      <c r="CO72" s="1">
        <v>24166320.227499995</v>
      </c>
      <c r="CP72" s="1">
        <v>33351832.229999997</v>
      </c>
      <c r="CQ72" s="1">
        <v>39385522.50999999</v>
      </c>
      <c r="CR72" s="1">
        <v>57555808.270000018</v>
      </c>
      <c r="CS72" s="1">
        <v>69761843.769999996</v>
      </c>
      <c r="CT72" s="1">
        <v>70672777.36999999</v>
      </c>
      <c r="CU72" s="1">
        <v>62948473.5</v>
      </c>
      <c r="CV72" s="1">
        <v>47971621.520000003</v>
      </c>
      <c r="CW72" s="1">
        <v>56914413.109999999</v>
      </c>
      <c r="CX72" s="1">
        <v>57796263.760000005</v>
      </c>
      <c r="CY72" s="1">
        <v>54283226.289999999</v>
      </c>
      <c r="CZ72" s="1">
        <v>44315206.860000007</v>
      </c>
      <c r="DA72" s="1">
        <v>30814325.68</v>
      </c>
      <c r="DB72" s="1">
        <v>25117526.840000004</v>
      </c>
      <c r="DC72" s="1">
        <v>0</v>
      </c>
      <c r="DD72" s="1">
        <v>0</v>
      </c>
      <c r="DE72" s="1">
        <v>0</v>
      </c>
      <c r="DF72" s="1">
        <v>0</v>
      </c>
      <c r="DH72" s="6">
        <f t="shared" si="33"/>
        <v>1608691821.2674997</v>
      </c>
    </row>
    <row r="73" spans="1:112" x14ac:dyDescent="0.2">
      <c r="A73" s="5" t="str">
        <f>A72</f>
        <v>IL</v>
      </c>
      <c r="B73" s="5" t="s">
        <v>41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H73" s="6">
        <f t="shared" si="33"/>
        <v>0</v>
      </c>
    </row>
    <row r="74" spans="1:112" x14ac:dyDescent="0.2">
      <c r="A74" s="5" t="s">
        <v>15</v>
      </c>
      <c r="B74" s="5" t="s">
        <v>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35215418</v>
      </c>
      <c r="X74" s="1">
        <v>91697395</v>
      </c>
      <c r="Y74" s="1">
        <v>147276912</v>
      </c>
      <c r="Z74" s="1">
        <v>161808924</v>
      </c>
      <c r="AA74" s="1">
        <v>171049250</v>
      </c>
      <c r="AB74" s="1">
        <v>187186221</v>
      </c>
      <c r="AC74" s="1">
        <v>74818801</v>
      </c>
      <c r="AD74" s="1">
        <v>26304128</v>
      </c>
      <c r="AE74" s="1">
        <v>37334940</v>
      </c>
      <c r="AF74" s="1">
        <v>29783582</v>
      </c>
      <c r="AG74" s="1">
        <v>70876623</v>
      </c>
      <c r="AH74" s="1">
        <v>169018237.86000001</v>
      </c>
      <c r="AI74" s="1">
        <v>207450106.01999998</v>
      </c>
      <c r="AJ74" s="1">
        <v>230932250.66999999</v>
      </c>
      <c r="AK74" s="1">
        <v>251403994.22</v>
      </c>
      <c r="AL74" s="1">
        <v>313112473.13</v>
      </c>
      <c r="AM74" s="1">
        <v>348244675.91999996</v>
      </c>
      <c r="AN74" s="1">
        <v>273893072.67999995</v>
      </c>
      <c r="AO74" s="1">
        <v>316717761.91000003</v>
      </c>
      <c r="AP74" s="1">
        <v>236403308.27000001</v>
      </c>
      <c r="AQ74" s="1">
        <v>254445225.5</v>
      </c>
      <c r="AR74" s="1">
        <v>246321670.69000003</v>
      </c>
      <c r="AS74" s="1">
        <v>194492668.61999995</v>
      </c>
      <c r="AT74" s="1">
        <v>215636823.74000001</v>
      </c>
      <c r="AU74" s="1">
        <v>355425183.77999997</v>
      </c>
      <c r="AV74" s="1">
        <v>461131241.63999999</v>
      </c>
      <c r="AW74" s="1">
        <v>463684738.75</v>
      </c>
      <c r="AX74" s="1">
        <v>463015613.38999999</v>
      </c>
      <c r="AY74" s="1">
        <v>500138647.98000002</v>
      </c>
      <c r="AZ74" s="1">
        <v>409109104.01000005</v>
      </c>
      <c r="BA74" s="1">
        <v>476802782.96999997</v>
      </c>
      <c r="BB74" s="1">
        <v>360023255.35000002</v>
      </c>
      <c r="BC74" s="1">
        <v>308385687.25000006</v>
      </c>
      <c r="BD74" s="1">
        <v>256307259.51000002</v>
      </c>
      <c r="BE74" s="1">
        <v>206627687.91000003</v>
      </c>
      <c r="BF74" s="1">
        <v>237990176.27999991</v>
      </c>
      <c r="BG74" s="1">
        <v>382507090.40000004</v>
      </c>
      <c r="BH74" s="1">
        <v>446248393.6099999</v>
      </c>
      <c r="BI74" s="1">
        <v>452318954.23999989</v>
      </c>
      <c r="BJ74" s="1">
        <v>431423175.6500001</v>
      </c>
      <c r="BK74" s="1">
        <v>427154793.91999996</v>
      </c>
      <c r="BL74" s="1">
        <v>356187758.64999998</v>
      </c>
      <c r="BM74" s="1">
        <v>433022775.25</v>
      </c>
      <c r="BN74" s="1">
        <v>321404737.31000006</v>
      </c>
      <c r="BO74" s="1">
        <v>283495510</v>
      </c>
      <c r="BP74" s="1">
        <v>224070049.98999998</v>
      </c>
      <c r="BQ74" s="1">
        <v>203788074.46999997</v>
      </c>
      <c r="BR74" s="1">
        <v>238079854</v>
      </c>
      <c r="BS74" s="1">
        <v>404140701.71000004</v>
      </c>
      <c r="BT74" s="1">
        <v>429673062.59000003</v>
      </c>
      <c r="BU74" s="1">
        <v>513672424.21999997</v>
      </c>
      <c r="BV74" s="1">
        <v>503127765.4000001</v>
      </c>
      <c r="BW74" s="1">
        <v>480573357.86000007</v>
      </c>
      <c r="BX74" s="1">
        <v>408675533.97000009</v>
      </c>
      <c r="BY74" s="1">
        <v>500757257.38</v>
      </c>
      <c r="BZ74" s="1">
        <v>393855316.74000001</v>
      </c>
      <c r="CA74" s="1">
        <v>361590148.44</v>
      </c>
      <c r="CB74" s="1">
        <v>298166250.75999999</v>
      </c>
      <c r="CC74" s="1">
        <v>261071808.05000004</v>
      </c>
      <c r="CD74" s="1">
        <v>307902881.20000005</v>
      </c>
      <c r="CE74" s="1">
        <v>483843655.25999993</v>
      </c>
      <c r="CF74" s="1">
        <v>537909435.13</v>
      </c>
      <c r="CG74" s="1">
        <v>614362613.23000002</v>
      </c>
      <c r="CH74" s="1">
        <v>563624405.99999988</v>
      </c>
      <c r="CI74" s="1">
        <v>538705450.16999996</v>
      </c>
      <c r="CJ74" s="1">
        <v>432889381.12</v>
      </c>
      <c r="CK74" s="1">
        <v>553578452.95000005</v>
      </c>
      <c r="CL74" s="1">
        <v>437099848.58000004</v>
      </c>
      <c r="CM74" s="1">
        <v>433271506.28000009</v>
      </c>
      <c r="CN74" s="1">
        <v>351462412.25999999</v>
      </c>
      <c r="CO74" s="1">
        <v>284895674.13999999</v>
      </c>
      <c r="CP74" s="1">
        <v>361145386.23000002</v>
      </c>
      <c r="CQ74" s="1">
        <v>531837834.80000001</v>
      </c>
      <c r="CR74" s="1">
        <v>611554930.17999995</v>
      </c>
      <c r="CS74" s="1">
        <v>640992150.01000011</v>
      </c>
      <c r="CT74" s="1">
        <v>544373524.37000012</v>
      </c>
      <c r="CU74" s="1">
        <v>523409708</v>
      </c>
      <c r="CV74" s="1">
        <v>430802632.6099999</v>
      </c>
      <c r="CW74" s="1">
        <v>517787880.98000002</v>
      </c>
      <c r="CX74" s="1">
        <v>491374767.99999988</v>
      </c>
      <c r="CY74" s="1">
        <v>428197306.00999999</v>
      </c>
      <c r="CZ74" s="1">
        <v>403396676.54000002</v>
      </c>
      <c r="DA74" s="1">
        <v>384192606.39999998</v>
      </c>
      <c r="DB74" s="1">
        <v>367464973.18000001</v>
      </c>
      <c r="DC74" s="1">
        <v>540471957.50000012</v>
      </c>
      <c r="DD74" s="1">
        <v>0</v>
      </c>
      <c r="DE74" s="1">
        <v>0</v>
      </c>
      <c r="DF74" s="1">
        <v>0</v>
      </c>
      <c r="DH74" s="6">
        <f t="shared" si="33"/>
        <v>29861618687.789989</v>
      </c>
    </row>
    <row r="75" spans="1:112" x14ac:dyDescent="0.2">
      <c r="A75" s="5" t="s">
        <v>15</v>
      </c>
      <c r="B75" s="5" t="s">
        <v>42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>
        <v>48014320</v>
      </c>
      <c r="Y75" s="1">
        <v>96205375</v>
      </c>
      <c r="Z75" s="1">
        <v>110574677</v>
      </c>
      <c r="AA75" s="1">
        <v>123372845</v>
      </c>
      <c r="AB75" s="1">
        <v>145893333</v>
      </c>
      <c r="AC75" s="1">
        <v>60797614</v>
      </c>
      <c r="AD75" s="1">
        <v>26304128</v>
      </c>
      <c r="AE75" s="1">
        <v>37334940</v>
      </c>
      <c r="AF75" s="1">
        <v>29149096</v>
      </c>
      <c r="AG75" s="1">
        <v>64545921</v>
      </c>
      <c r="AH75" s="1">
        <v>143900568.38</v>
      </c>
      <c r="AI75" s="1">
        <v>173170392.07999998</v>
      </c>
      <c r="AJ75" s="1">
        <v>193031440.19</v>
      </c>
      <c r="AK75" s="1">
        <v>213687912.18000001</v>
      </c>
      <c r="AL75" s="1">
        <v>263072903.92000002</v>
      </c>
      <c r="AM75" s="1">
        <v>296505206.89999998</v>
      </c>
      <c r="AN75" s="1">
        <v>241027556.07999995</v>
      </c>
      <c r="AO75" s="1">
        <v>279184336.77000004</v>
      </c>
      <c r="AP75" s="1">
        <v>209070979.91000003</v>
      </c>
      <c r="AQ75" s="1">
        <v>228428129.22999999</v>
      </c>
      <c r="AR75" s="1">
        <v>218409664.22000003</v>
      </c>
      <c r="AS75" s="1">
        <v>174579639.66999996</v>
      </c>
      <c r="AT75" s="1">
        <v>195239188.70000002</v>
      </c>
      <c r="AU75" s="1">
        <v>320128250.63999999</v>
      </c>
      <c r="AV75" s="1">
        <v>411944580.68000001</v>
      </c>
      <c r="AW75" s="1">
        <v>422912752.58999997</v>
      </c>
      <c r="AX75" s="1">
        <v>422809536.31</v>
      </c>
      <c r="AY75" s="1">
        <v>458306776.80000001</v>
      </c>
      <c r="AZ75" s="1">
        <v>380485197.79000008</v>
      </c>
      <c r="BA75" s="1">
        <v>440054784.38999999</v>
      </c>
      <c r="BB75" s="1">
        <v>333929099.02000004</v>
      </c>
      <c r="BC75" s="1">
        <v>284904103.33000004</v>
      </c>
      <c r="BD75" s="1">
        <v>238719021.81000003</v>
      </c>
      <c r="BE75" s="1">
        <v>193446323.82000002</v>
      </c>
      <c r="BF75" s="1">
        <v>219054737.33999991</v>
      </c>
      <c r="BG75" s="1">
        <v>352527789.96000004</v>
      </c>
      <c r="BH75" s="1">
        <v>410681370.58999991</v>
      </c>
      <c r="BI75" s="1">
        <v>415752952.27999991</v>
      </c>
      <c r="BJ75" s="1">
        <v>396683808.44000012</v>
      </c>
      <c r="BK75" s="1">
        <v>397881606.03999996</v>
      </c>
      <c r="BL75" s="1">
        <v>333801578.77999997</v>
      </c>
      <c r="BM75" s="1">
        <v>404044442.13</v>
      </c>
      <c r="BN75" s="1">
        <v>303450747.19000006</v>
      </c>
      <c r="BO75" s="1">
        <v>268296116</v>
      </c>
      <c r="BP75" s="1">
        <v>212794438.46999997</v>
      </c>
      <c r="BQ75" s="1">
        <v>193089882.85999998</v>
      </c>
      <c r="BR75" s="1">
        <v>223753624</v>
      </c>
      <c r="BS75" s="1">
        <v>383753792.59000003</v>
      </c>
      <c r="BT75" s="1">
        <v>412141991.83000004</v>
      </c>
      <c r="BU75" s="1">
        <v>496767587.42999995</v>
      </c>
      <c r="BV75" s="1">
        <v>486994715.18000007</v>
      </c>
      <c r="BW75" s="1">
        <v>465343294.51000005</v>
      </c>
      <c r="BX75" s="1">
        <v>397952497.17000008</v>
      </c>
      <c r="BY75" s="1">
        <v>485426265.42000002</v>
      </c>
      <c r="BZ75" s="1">
        <v>383490695.62</v>
      </c>
      <c r="CA75" s="1">
        <v>351710445.79000002</v>
      </c>
      <c r="CB75" s="1">
        <v>290315550.55000001</v>
      </c>
      <c r="CC75" s="1">
        <v>254882074.11000004</v>
      </c>
      <c r="CD75" s="1">
        <v>300042248.28000003</v>
      </c>
      <c r="CE75" s="1">
        <v>469950583.33999991</v>
      </c>
      <c r="CF75" s="1">
        <v>523369102.64999998</v>
      </c>
      <c r="CG75" s="1">
        <v>597729858.62</v>
      </c>
      <c r="CH75" s="1">
        <v>548638366.21999991</v>
      </c>
      <c r="CI75" s="1">
        <v>525599122.26999992</v>
      </c>
      <c r="CJ75" s="1">
        <v>423809234.95999998</v>
      </c>
      <c r="CK75" s="1">
        <v>539974590.72000003</v>
      </c>
      <c r="CL75" s="1">
        <v>427054760.00000006</v>
      </c>
      <c r="CM75" s="1">
        <v>424442335.66000009</v>
      </c>
      <c r="CN75" s="1">
        <v>344256751.24000001</v>
      </c>
      <c r="CO75" s="1">
        <v>280089368.91999996</v>
      </c>
      <c r="CP75" s="1">
        <v>354505793.67000002</v>
      </c>
      <c r="CQ75" s="1">
        <v>516809675.59000003</v>
      </c>
      <c r="CR75" s="1">
        <v>595392623.91999996</v>
      </c>
      <c r="CS75" s="1">
        <v>620880508.1500001</v>
      </c>
      <c r="CT75" s="1">
        <v>527159046.55000007</v>
      </c>
      <c r="CU75" s="1">
        <v>511758748.08999997</v>
      </c>
      <c r="CV75" s="1">
        <v>422904686.4199999</v>
      </c>
      <c r="CW75" s="1">
        <v>506911751.35000002</v>
      </c>
      <c r="CX75" s="1">
        <v>482648181.45999986</v>
      </c>
      <c r="CY75" s="1">
        <v>420539805.67000002</v>
      </c>
      <c r="CZ75" s="1">
        <v>396535972.01000005</v>
      </c>
      <c r="DA75" s="1">
        <v>377607677.81</v>
      </c>
      <c r="DB75" s="1">
        <v>360975607.28000003</v>
      </c>
      <c r="DC75" s="1">
        <v>531149380.2100001</v>
      </c>
      <c r="DD75" s="1">
        <v>0</v>
      </c>
      <c r="DE75" s="1">
        <v>0</v>
      </c>
      <c r="DF75" s="1">
        <v>0</v>
      </c>
      <c r="DH75" s="6">
        <f t="shared" si="33"/>
        <v>28050468379.749996</v>
      </c>
    </row>
    <row r="76" spans="1:112" x14ac:dyDescent="0.2">
      <c r="A76" s="5" t="s">
        <v>15</v>
      </c>
      <c r="B76" s="5" t="s">
        <v>43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f t="shared" ref="W76:BO76" si="39">W74-W75</f>
        <v>35215418</v>
      </c>
      <c r="X76" s="1">
        <f t="shared" si="39"/>
        <v>43683075</v>
      </c>
      <c r="Y76" s="1">
        <f t="shared" si="39"/>
        <v>51071537</v>
      </c>
      <c r="Z76" s="1">
        <f t="shared" si="39"/>
        <v>51234247</v>
      </c>
      <c r="AA76" s="1">
        <f t="shared" si="39"/>
        <v>47676405</v>
      </c>
      <c r="AB76" s="1">
        <f t="shared" si="39"/>
        <v>41292888</v>
      </c>
      <c r="AC76" s="1">
        <f t="shared" si="39"/>
        <v>14021187</v>
      </c>
      <c r="AD76" s="1">
        <f t="shared" si="39"/>
        <v>0</v>
      </c>
      <c r="AE76" s="1">
        <f t="shared" si="39"/>
        <v>0</v>
      </c>
      <c r="AF76" s="1">
        <f t="shared" si="39"/>
        <v>634486</v>
      </c>
      <c r="AG76" s="1">
        <f t="shared" si="39"/>
        <v>6330702</v>
      </c>
      <c r="AH76" s="1">
        <f t="shared" si="39"/>
        <v>25117669.480000019</v>
      </c>
      <c r="AI76" s="1">
        <f t="shared" si="39"/>
        <v>34279713.939999998</v>
      </c>
      <c r="AJ76" s="1">
        <f t="shared" si="39"/>
        <v>37900810.479999989</v>
      </c>
      <c r="AK76" s="1">
        <f t="shared" si="39"/>
        <v>37716082.039999992</v>
      </c>
      <c r="AL76" s="1">
        <f t="shared" si="39"/>
        <v>50039569.209999979</v>
      </c>
      <c r="AM76" s="1">
        <f t="shared" si="39"/>
        <v>51739469.019999981</v>
      </c>
      <c r="AN76" s="1">
        <f t="shared" si="39"/>
        <v>32865516.599999994</v>
      </c>
      <c r="AO76" s="1">
        <f t="shared" si="39"/>
        <v>37533425.139999986</v>
      </c>
      <c r="AP76" s="1">
        <f t="shared" si="39"/>
        <v>27332328.359999985</v>
      </c>
      <c r="AQ76" s="1">
        <f t="shared" si="39"/>
        <v>26017096.270000011</v>
      </c>
      <c r="AR76" s="1">
        <f t="shared" si="39"/>
        <v>27912006.469999999</v>
      </c>
      <c r="AS76" s="1">
        <f t="shared" si="39"/>
        <v>19913028.949999988</v>
      </c>
      <c r="AT76" s="1">
        <f t="shared" si="39"/>
        <v>20397635.039999992</v>
      </c>
      <c r="AU76" s="1">
        <f t="shared" si="39"/>
        <v>35296933.139999986</v>
      </c>
      <c r="AV76" s="1">
        <f t="shared" si="39"/>
        <v>49186660.959999979</v>
      </c>
      <c r="AW76" s="1">
        <f t="shared" si="39"/>
        <v>40771986.160000026</v>
      </c>
      <c r="AX76" s="1">
        <f t="shared" si="39"/>
        <v>40206077.079999983</v>
      </c>
      <c r="AY76" s="1">
        <f t="shared" si="39"/>
        <v>41831871.180000007</v>
      </c>
      <c r="AZ76" s="1">
        <f t="shared" si="39"/>
        <v>28623906.219999969</v>
      </c>
      <c r="BA76" s="1">
        <f t="shared" si="39"/>
        <v>36747998.579999983</v>
      </c>
      <c r="BB76" s="1">
        <f t="shared" si="39"/>
        <v>26094156.329999983</v>
      </c>
      <c r="BC76" s="1">
        <f t="shared" si="39"/>
        <v>23481583.920000017</v>
      </c>
      <c r="BD76" s="1">
        <f t="shared" si="39"/>
        <v>17588237.699999988</v>
      </c>
      <c r="BE76" s="1">
        <f t="shared" si="39"/>
        <v>13181364.090000004</v>
      </c>
      <c r="BF76" s="1">
        <f t="shared" si="39"/>
        <v>18935438.939999998</v>
      </c>
      <c r="BG76" s="1">
        <f t="shared" si="39"/>
        <v>29979300.439999998</v>
      </c>
      <c r="BH76" s="1">
        <f t="shared" si="39"/>
        <v>35567023.019999981</v>
      </c>
      <c r="BI76" s="1">
        <f t="shared" si="39"/>
        <v>36566001.959999979</v>
      </c>
      <c r="BJ76" s="1">
        <f t="shared" si="39"/>
        <v>34739367.209999979</v>
      </c>
      <c r="BK76" s="1">
        <f t="shared" si="39"/>
        <v>29273187.879999995</v>
      </c>
      <c r="BL76" s="1">
        <f t="shared" si="39"/>
        <v>22386179.870000005</v>
      </c>
      <c r="BM76" s="1">
        <f t="shared" si="39"/>
        <v>28978333.120000005</v>
      </c>
      <c r="BN76" s="1">
        <f t="shared" si="39"/>
        <v>17953990.120000005</v>
      </c>
      <c r="BO76" s="1">
        <f t="shared" si="39"/>
        <v>15199394</v>
      </c>
      <c r="BP76" s="1">
        <f>BP74-BP75</f>
        <v>11275611.520000011</v>
      </c>
      <c r="BQ76" s="1">
        <f t="shared" ref="BQ76:CC76" si="40">BQ74-BQ75</f>
        <v>10698191.609999985</v>
      </c>
      <c r="BR76" s="1">
        <f t="shared" si="40"/>
        <v>14326230</v>
      </c>
      <c r="BS76" s="1">
        <f t="shared" si="40"/>
        <v>20386909.120000005</v>
      </c>
      <c r="BT76" s="1">
        <f t="shared" si="40"/>
        <v>17531070.75999999</v>
      </c>
      <c r="BU76" s="1">
        <f t="shared" si="40"/>
        <v>16904836.790000021</v>
      </c>
      <c r="BV76" s="1">
        <f t="shared" si="40"/>
        <v>16133050.220000029</v>
      </c>
      <c r="BW76" s="1">
        <f t="shared" si="40"/>
        <v>15230063.350000024</v>
      </c>
      <c r="BX76" s="1">
        <f t="shared" si="40"/>
        <v>10723036.800000012</v>
      </c>
      <c r="BY76" s="1">
        <f t="shared" si="40"/>
        <v>15330991.959999979</v>
      </c>
      <c r="BZ76" s="1">
        <f t="shared" si="40"/>
        <v>10364621.120000005</v>
      </c>
      <c r="CA76" s="1">
        <f t="shared" si="40"/>
        <v>9879702.6499999762</v>
      </c>
      <c r="CB76" s="1">
        <f t="shared" si="40"/>
        <v>7850700.2099999785</v>
      </c>
      <c r="CC76" s="1">
        <f t="shared" si="40"/>
        <v>6189733.9399999976</v>
      </c>
      <c r="CD76" s="1">
        <f>CD74-CD75</f>
        <v>7860632.9200000167</v>
      </c>
      <c r="CE76" s="1">
        <f>CE74-CE75</f>
        <v>13893071.920000017</v>
      </c>
      <c r="CF76" s="1">
        <f>CF74-CF75</f>
        <v>14540332.480000019</v>
      </c>
      <c r="CG76" s="1">
        <f>CG74-CG75</f>
        <v>16632754.610000014</v>
      </c>
      <c r="CH76" s="1">
        <f>CH74-CH75</f>
        <v>14986039.779999971</v>
      </c>
      <c r="CI76" s="1">
        <f t="shared" ref="CI76:DF76" si="41">CI74-CI75</f>
        <v>13106327.900000036</v>
      </c>
      <c r="CJ76" s="1">
        <f t="shared" si="41"/>
        <v>9080146.1600000262</v>
      </c>
      <c r="CK76" s="1">
        <f t="shared" si="41"/>
        <v>13603862.230000019</v>
      </c>
      <c r="CL76" s="1">
        <f t="shared" si="41"/>
        <v>10045088.579999983</v>
      </c>
      <c r="CM76" s="1">
        <f t="shared" si="41"/>
        <v>8829170.6200000048</v>
      </c>
      <c r="CN76" s="1">
        <f t="shared" si="41"/>
        <v>7205661.0199999809</v>
      </c>
      <c r="CO76" s="1">
        <f t="shared" si="41"/>
        <v>4806305.2200000286</v>
      </c>
      <c r="CP76" s="1">
        <f t="shared" si="41"/>
        <v>6639592.5600000024</v>
      </c>
      <c r="CQ76" s="1">
        <f t="shared" si="41"/>
        <v>15028159.209999979</v>
      </c>
      <c r="CR76" s="1">
        <f t="shared" si="41"/>
        <v>16162306.25999999</v>
      </c>
      <c r="CS76" s="1">
        <f t="shared" si="41"/>
        <v>20111641.860000014</v>
      </c>
      <c r="CT76" s="1">
        <f t="shared" si="41"/>
        <v>17214477.820000052</v>
      </c>
      <c r="CU76" s="1">
        <f t="shared" si="41"/>
        <v>11650959.910000026</v>
      </c>
      <c r="CV76" s="1">
        <f t="shared" si="41"/>
        <v>7897946.1899999976</v>
      </c>
      <c r="CW76" s="1">
        <f t="shared" si="41"/>
        <v>10876129.629999995</v>
      </c>
      <c r="CX76" s="1">
        <f t="shared" si="41"/>
        <v>8726586.5400000215</v>
      </c>
      <c r="CY76" s="1">
        <f t="shared" si="41"/>
        <v>7657500.3399999738</v>
      </c>
      <c r="CZ76" s="1">
        <f t="shared" si="41"/>
        <v>6860704.5299999714</v>
      </c>
      <c r="DA76" s="1">
        <f t="shared" si="41"/>
        <v>6584928.5899999738</v>
      </c>
      <c r="DB76" s="1">
        <f t="shared" si="41"/>
        <v>6489365.8999999762</v>
      </c>
      <c r="DC76" s="1">
        <f t="shared" si="41"/>
        <v>9322577.2900000215</v>
      </c>
      <c r="DD76" s="1">
        <f t="shared" si="41"/>
        <v>0</v>
      </c>
      <c r="DE76" s="1">
        <f t="shared" si="41"/>
        <v>0</v>
      </c>
      <c r="DF76" s="1">
        <f t="shared" si="41"/>
        <v>0</v>
      </c>
      <c r="DH76" s="6">
        <f t="shared" si="33"/>
        <v>1811150308.04</v>
      </c>
    </row>
    <row r="77" spans="1:112" x14ac:dyDescent="0.2">
      <c r="A77" s="5" t="s">
        <v>15</v>
      </c>
      <c r="B77" s="5" t="s">
        <v>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8284862</v>
      </c>
      <c r="X77" s="1">
        <v>10629476</v>
      </c>
      <c r="Y77" s="1">
        <v>10593321</v>
      </c>
      <c r="Z77" s="1">
        <v>12068114</v>
      </c>
      <c r="AA77" s="1">
        <v>12223222</v>
      </c>
      <c r="AB77" s="1">
        <v>10381954</v>
      </c>
      <c r="AC77" s="1">
        <v>5300191</v>
      </c>
      <c r="AD77" s="1">
        <v>1629555</v>
      </c>
      <c r="AE77" s="1">
        <v>3237033</v>
      </c>
      <c r="AF77" s="1">
        <v>2543803</v>
      </c>
      <c r="AG77" s="1">
        <v>4885514</v>
      </c>
      <c r="AH77" s="1">
        <v>12601819.52</v>
      </c>
      <c r="AI77" s="1">
        <v>11238265.34</v>
      </c>
      <c r="AJ77" s="1">
        <v>25094814.490000002</v>
      </c>
      <c r="AK77" s="1">
        <v>25255640.690000009</v>
      </c>
      <c r="AL77" s="1">
        <v>22003605.890000001</v>
      </c>
      <c r="AM77" s="1">
        <v>31668177.730000004</v>
      </c>
      <c r="AN77" s="1">
        <v>15867142.549999999</v>
      </c>
      <c r="AO77" s="1">
        <v>27421008.109999999</v>
      </c>
      <c r="AP77" s="1">
        <v>19690319.540000003</v>
      </c>
      <c r="AQ77" s="1">
        <v>18011338.700000003</v>
      </c>
      <c r="AR77" s="1">
        <v>26748802.550000004</v>
      </c>
      <c r="AS77" s="1">
        <v>17225036.369999997</v>
      </c>
      <c r="AT77" s="1">
        <v>16704437.77</v>
      </c>
      <c r="AU77" s="1">
        <v>33307105.810000002</v>
      </c>
      <c r="AV77" s="1">
        <v>27838471.760000005</v>
      </c>
      <c r="AW77" s="1">
        <v>47815376.770000003</v>
      </c>
      <c r="AX77" s="1">
        <v>26007133.43</v>
      </c>
      <c r="AY77" s="1">
        <v>29278176.500000004</v>
      </c>
      <c r="AZ77" s="1">
        <v>22396131.129999999</v>
      </c>
      <c r="BA77" s="1">
        <v>32788453.770000003</v>
      </c>
      <c r="BB77" s="1">
        <v>27634092.189999998</v>
      </c>
      <c r="BC77" s="1">
        <v>31951465.659999996</v>
      </c>
      <c r="BD77" s="1">
        <v>15653582.550000001</v>
      </c>
      <c r="BE77" s="1">
        <v>20510070.539999999</v>
      </c>
      <c r="BF77" s="1">
        <v>25978247.670000002</v>
      </c>
      <c r="BG77" s="1">
        <v>50551748.509999998</v>
      </c>
      <c r="BH77" s="1">
        <v>46393924.540000007</v>
      </c>
      <c r="BI77" s="1">
        <v>40197275.799999997</v>
      </c>
      <c r="BJ77" s="1">
        <v>43555138.859999992</v>
      </c>
      <c r="BK77" s="1">
        <v>35347153.799999997</v>
      </c>
      <c r="BL77" s="1">
        <v>28076424.199999999</v>
      </c>
      <c r="BM77" s="1">
        <v>43746468.609999992</v>
      </c>
      <c r="BN77" s="1">
        <v>29349148.870000001</v>
      </c>
      <c r="BO77" s="1">
        <v>33542239.460000001</v>
      </c>
      <c r="BP77" s="1">
        <v>19036099.18</v>
      </c>
      <c r="BQ77" s="1">
        <v>23420739.759999998</v>
      </c>
      <c r="BR77" s="1">
        <v>23633486</v>
      </c>
      <c r="BS77" s="1">
        <v>40624360.539999999</v>
      </c>
      <c r="BT77" s="1">
        <v>46135347.090000004</v>
      </c>
      <c r="BU77" s="1">
        <v>26848974.979999997</v>
      </c>
      <c r="BV77" s="1">
        <v>54603323.340000004</v>
      </c>
      <c r="BW77" s="1">
        <v>53506697.609999999</v>
      </c>
      <c r="BX77" s="1">
        <v>37601071.259999998</v>
      </c>
      <c r="BY77" s="1">
        <v>37899470.57</v>
      </c>
      <c r="BZ77" s="1">
        <v>39077679.409999996</v>
      </c>
      <c r="CA77" s="1">
        <v>38695260.399999991</v>
      </c>
      <c r="CB77" s="1">
        <v>30557190.819999997</v>
      </c>
      <c r="CC77" s="1">
        <v>29415901.609999999</v>
      </c>
      <c r="CD77" s="1">
        <v>29418190.380000003</v>
      </c>
      <c r="CE77" s="1">
        <v>55254536.290000014</v>
      </c>
      <c r="CF77" s="1">
        <v>35082060.68</v>
      </c>
      <c r="CG77" s="1">
        <v>68820754.999999985</v>
      </c>
      <c r="CH77" s="1">
        <v>29758089.849999994</v>
      </c>
      <c r="CI77" s="1">
        <v>57029654.129999995</v>
      </c>
      <c r="CJ77" s="1">
        <v>47302722.239999995</v>
      </c>
      <c r="CK77" s="1">
        <v>34995595.970000006</v>
      </c>
      <c r="CL77" s="1">
        <v>41423026.440000005</v>
      </c>
      <c r="CM77" s="1">
        <v>42057323.049999997</v>
      </c>
      <c r="CN77" s="1">
        <v>46955926.240000002</v>
      </c>
      <c r="CO77" s="1">
        <v>34442080.130000003</v>
      </c>
      <c r="CP77" s="1">
        <v>45561700.219999991</v>
      </c>
      <c r="CQ77" s="1">
        <v>37759061.82</v>
      </c>
      <c r="CR77" s="1">
        <v>48835614.999999993</v>
      </c>
      <c r="CS77" s="1">
        <v>68136843.719999999</v>
      </c>
      <c r="CT77" s="1">
        <v>65954617.690000005</v>
      </c>
      <c r="CU77" s="1">
        <v>49077138.74000001</v>
      </c>
      <c r="CV77" s="1">
        <v>41480789.890000001</v>
      </c>
      <c r="CW77" s="1">
        <v>49134287.259999998</v>
      </c>
      <c r="CX77" s="1">
        <v>49943664.359999992</v>
      </c>
      <c r="CY77" s="1">
        <v>50167277.320000008</v>
      </c>
      <c r="CZ77" s="1">
        <v>35641203.170000002</v>
      </c>
      <c r="DA77" s="1">
        <v>41368176.469999999</v>
      </c>
      <c r="DB77" s="1">
        <v>36140496.709999993</v>
      </c>
      <c r="DC77" s="1">
        <v>49145510.050000004</v>
      </c>
      <c r="DD77" s="1">
        <v>0</v>
      </c>
      <c r="DE77" s="1">
        <v>0</v>
      </c>
      <c r="DF77" s="1">
        <v>0</v>
      </c>
      <c r="DH77" s="6">
        <f t="shared" si="33"/>
        <v>2735167230.0699997</v>
      </c>
    </row>
    <row r="78" spans="1:112" x14ac:dyDescent="0.2">
      <c r="A78" s="5" t="s">
        <v>15</v>
      </c>
      <c r="B78" s="5" t="s">
        <v>44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4185593</v>
      </c>
      <c r="Y78" s="1">
        <v>6431986</v>
      </c>
      <c r="Z78" s="1">
        <v>7779147</v>
      </c>
      <c r="AA78" s="1">
        <v>7098653</v>
      </c>
      <c r="AB78" s="1">
        <v>8720542</v>
      </c>
      <c r="AC78" s="1">
        <v>4664319</v>
      </c>
      <c r="AD78" s="1">
        <v>1629997</v>
      </c>
      <c r="AE78" s="1">
        <v>3237374</v>
      </c>
      <c r="AF78" s="1">
        <v>2768877</v>
      </c>
      <c r="AG78" s="1">
        <v>4116880</v>
      </c>
      <c r="AH78" s="1">
        <v>10016089.059999999</v>
      </c>
      <c r="AI78" s="1">
        <v>7437809.6399999997</v>
      </c>
      <c r="AJ78" s="1">
        <v>19386910.190000001</v>
      </c>
      <c r="AK78" s="1">
        <v>19233642.270000007</v>
      </c>
      <c r="AL78" s="1">
        <v>15927557.560000001</v>
      </c>
      <c r="AM78" s="1">
        <v>24312196.510000005</v>
      </c>
      <c r="AN78" s="1">
        <v>13461249.889999999</v>
      </c>
      <c r="AO78" s="1">
        <v>22623837.539999999</v>
      </c>
      <c r="AP78" s="1">
        <v>16609799.810000002</v>
      </c>
      <c r="AQ78" s="1">
        <v>15307576.510000002</v>
      </c>
      <c r="AR78" s="1">
        <v>23285853.930000003</v>
      </c>
      <c r="AS78" s="1">
        <v>14642787.119999999</v>
      </c>
      <c r="AT78" s="1">
        <v>14252309.92</v>
      </c>
      <c r="AU78" s="1">
        <v>27176547.710000001</v>
      </c>
      <c r="AV78" s="1">
        <v>24326915.420000006</v>
      </c>
      <c r="AW78" s="1">
        <v>40323858.640000001</v>
      </c>
      <c r="AX78" s="1">
        <v>22577627.5</v>
      </c>
      <c r="AY78" s="1">
        <v>26307657.000000004</v>
      </c>
      <c r="AZ78" s="1">
        <v>21233241.640000001</v>
      </c>
      <c r="BA78" s="1">
        <v>28804003.980000004</v>
      </c>
      <c r="BB78" s="1">
        <v>25366460.129999999</v>
      </c>
      <c r="BC78" s="1">
        <v>28814741.029999997</v>
      </c>
      <c r="BD78" s="1">
        <v>14482545.960000001</v>
      </c>
      <c r="BE78" s="1">
        <v>18367081.620000001</v>
      </c>
      <c r="BF78" s="1">
        <v>22983178.590000004</v>
      </c>
      <c r="BG78" s="1">
        <v>44124687.280000001</v>
      </c>
      <c r="BH78" s="1">
        <v>40845271.860000007</v>
      </c>
      <c r="BI78" s="1">
        <v>36988107.739999995</v>
      </c>
      <c r="BJ78" s="1">
        <v>39059906.129999995</v>
      </c>
      <c r="BK78" s="1">
        <v>33804853.93</v>
      </c>
      <c r="BL78" s="1">
        <v>27677756.079999998</v>
      </c>
      <c r="BM78" s="1">
        <v>40576680.61999999</v>
      </c>
      <c r="BN78" s="1">
        <v>27765836.440000001</v>
      </c>
      <c r="BO78" s="1">
        <v>31545017.129999999</v>
      </c>
      <c r="BP78" s="1">
        <v>17973421.030000001</v>
      </c>
      <c r="BQ78" s="1">
        <v>21753741.27</v>
      </c>
      <c r="BR78" s="1">
        <v>22137271</v>
      </c>
      <c r="BS78" s="1">
        <v>37941041.210000001</v>
      </c>
      <c r="BT78" s="1">
        <v>43634687.600000001</v>
      </c>
      <c r="BU78" s="1">
        <v>25926613.619999997</v>
      </c>
      <c r="BV78" s="1">
        <v>52103764.350000001</v>
      </c>
      <c r="BW78" s="1">
        <v>52151486.130000003</v>
      </c>
      <c r="BX78" s="1">
        <v>37240860.329999998</v>
      </c>
      <c r="BY78" s="1">
        <v>36224229.600000001</v>
      </c>
      <c r="BZ78" s="1">
        <v>38897364.899999999</v>
      </c>
      <c r="CA78" s="1">
        <v>37551430.279999994</v>
      </c>
      <c r="CB78" s="1">
        <v>30008947.759999998</v>
      </c>
      <c r="CC78" s="1">
        <v>28402433.969999999</v>
      </c>
      <c r="CD78" s="1">
        <v>27740268.650000002</v>
      </c>
      <c r="CE78" s="1">
        <v>52402576.810000017</v>
      </c>
      <c r="CF78" s="1">
        <v>34530604</v>
      </c>
      <c r="CG78" s="1">
        <v>66479850.539999992</v>
      </c>
      <c r="CH78" s="1">
        <v>29848778.789999995</v>
      </c>
      <c r="CI78" s="1">
        <v>56417682.499999993</v>
      </c>
      <c r="CJ78" s="1">
        <v>46890657.859999992</v>
      </c>
      <c r="CK78" s="1">
        <v>33874449.880000003</v>
      </c>
      <c r="CL78" s="1">
        <v>40732760.120000005</v>
      </c>
      <c r="CM78" s="1">
        <v>41018569.669999994</v>
      </c>
      <c r="CN78" s="1">
        <v>46152663.140000001</v>
      </c>
      <c r="CO78" s="1">
        <v>33661448.780000001</v>
      </c>
      <c r="CP78" s="1">
        <v>44223964.469999991</v>
      </c>
      <c r="CQ78" s="1">
        <v>36934811.25</v>
      </c>
      <c r="CR78" s="1">
        <v>47611910.789999992</v>
      </c>
      <c r="CS78" s="1">
        <v>66775154.509999998</v>
      </c>
      <c r="CT78" s="1">
        <v>64559940.440000005</v>
      </c>
      <c r="CU78" s="1">
        <v>48558107.820000008</v>
      </c>
      <c r="CV78" s="1">
        <v>41231768.880000003</v>
      </c>
      <c r="CW78" s="1">
        <v>48007188.780000001</v>
      </c>
      <c r="CX78" s="1">
        <v>49032571.719999991</v>
      </c>
      <c r="CY78" s="1">
        <v>49272805.150000006</v>
      </c>
      <c r="CZ78" s="1">
        <v>34726368.68</v>
      </c>
      <c r="DA78" s="1">
        <v>40809430.899999999</v>
      </c>
      <c r="DB78" s="1">
        <v>35115402.25999999</v>
      </c>
      <c r="DC78" s="1">
        <v>47570848.740000002</v>
      </c>
      <c r="DD78" s="1">
        <v>0</v>
      </c>
      <c r="DE78" s="1">
        <v>0</v>
      </c>
      <c r="DF78" s="1">
        <v>0</v>
      </c>
      <c r="DH78" s="6">
        <f t="shared" si="33"/>
        <v>2536410842.5600004</v>
      </c>
    </row>
    <row r="79" spans="1:112" x14ac:dyDescent="0.2">
      <c r="A79" s="5" t="s">
        <v>15</v>
      </c>
      <c r="B79" s="5" t="s">
        <v>45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f t="shared" ref="W79:BO79" si="42">W77-W78</f>
        <v>8284862</v>
      </c>
      <c r="X79" s="1">
        <f t="shared" si="42"/>
        <v>6443883</v>
      </c>
      <c r="Y79" s="1">
        <f t="shared" si="42"/>
        <v>4161335</v>
      </c>
      <c r="Z79" s="1">
        <f t="shared" si="42"/>
        <v>4288967</v>
      </c>
      <c r="AA79" s="1">
        <f t="shared" si="42"/>
        <v>5124569</v>
      </c>
      <c r="AB79" s="1">
        <f t="shared" si="42"/>
        <v>1661412</v>
      </c>
      <c r="AC79" s="1">
        <f t="shared" si="42"/>
        <v>635872</v>
      </c>
      <c r="AD79" s="1">
        <f t="shared" si="42"/>
        <v>-442</v>
      </c>
      <c r="AE79" s="1">
        <f t="shared" si="42"/>
        <v>-341</v>
      </c>
      <c r="AF79" s="1">
        <f t="shared" si="42"/>
        <v>-225074</v>
      </c>
      <c r="AG79" s="1">
        <f t="shared" si="42"/>
        <v>768634</v>
      </c>
      <c r="AH79" s="1">
        <f t="shared" si="42"/>
        <v>2585730.4600000009</v>
      </c>
      <c r="AI79" s="1">
        <f t="shared" si="42"/>
        <v>3800455.7</v>
      </c>
      <c r="AJ79" s="1">
        <f t="shared" si="42"/>
        <v>5707904.3000000007</v>
      </c>
      <c r="AK79" s="1">
        <f t="shared" si="42"/>
        <v>6021998.4200000018</v>
      </c>
      <c r="AL79" s="1">
        <f t="shared" si="42"/>
        <v>6076048.3300000001</v>
      </c>
      <c r="AM79" s="1">
        <f t="shared" si="42"/>
        <v>7355981.2199999988</v>
      </c>
      <c r="AN79" s="1">
        <f t="shared" si="42"/>
        <v>2405892.66</v>
      </c>
      <c r="AO79" s="1">
        <f t="shared" si="42"/>
        <v>4797170.57</v>
      </c>
      <c r="AP79" s="1">
        <f t="shared" si="42"/>
        <v>3080519.7300000004</v>
      </c>
      <c r="AQ79" s="1">
        <f t="shared" si="42"/>
        <v>2703762.1900000013</v>
      </c>
      <c r="AR79" s="1">
        <f t="shared" si="42"/>
        <v>3462948.620000001</v>
      </c>
      <c r="AS79" s="1">
        <f t="shared" si="42"/>
        <v>2582249.2499999981</v>
      </c>
      <c r="AT79" s="1">
        <f t="shared" si="42"/>
        <v>2452127.8499999996</v>
      </c>
      <c r="AU79" s="1">
        <f t="shared" si="42"/>
        <v>6130558.1000000015</v>
      </c>
      <c r="AV79" s="1">
        <f t="shared" si="42"/>
        <v>3511556.34</v>
      </c>
      <c r="AW79" s="1">
        <f t="shared" si="42"/>
        <v>7491518.1300000027</v>
      </c>
      <c r="AX79" s="1">
        <f t="shared" si="42"/>
        <v>3429505.9299999997</v>
      </c>
      <c r="AY79" s="1">
        <f t="shared" si="42"/>
        <v>2970519.5</v>
      </c>
      <c r="AZ79" s="1">
        <f t="shared" si="42"/>
        <v>1162889.4899999984</v>
      </c>
      <c r="BA79" s="1">
        <f t="shared" si="42"/>
        <v>3984449.7899999991</v>
      </c>
      <c r="BB79" s="1">
        <f t="shared" si="42"/>
        <v>2267632.0599999987</v>
      </c>
      <c r="BC79" s="1">
        <f t="shared" si="42"/>
        <v>3136724.629999999</v>
      </c>
      <c r="BD79" s="1">
        <f t="shared" si="42"/>
        <v>1171036.5899999999</v>
      </c>
      <c r="BE79" s="1">
        <f t="shared" si="42"/>
        <v>2142988.9199999981</v>
      </c>
      <c r="BF79" s="1">
        <f t="shared" si="42"/>
        <v>2995069.0799999982</v>
      </c>
      <c r="BG79" s="1">
        <f t="shared" si="42"/>
        <v>6427061.2299999967</v>
      </c>
      <c r="BH79" s="1">
        <f t="shared" si="42"/>
        <v>5548652.6799999997</v>
      </c>
      <c r="BI79" s="1">
        <f t="shared" si="42"/>
        <v>3209168.0600000024</v>
      </c>
      <c r="BJ79" s="1">
        <f t="shared" si="42"/>
        <v>4495232.7299999967</v>
      </c>
      <c r="BK79" s="1">
        <f t="shared" si="42"/>
        <v>1542299.8699999973</v>
      </c>
      <c r="BL79" s="1">
        <f t="shared" si="42"/>
        <v>398668.12000000104</v>
      </c>
      <c r="BM79" s="1">
        <f t="shared" si="42"/>
        <v>3169787.9900000021</v>
      </c>
      <c r="BN79" s="1">
        <f t="shared" si="42"/>
        <v>1583312.4299999997</v>
      </c>
      <c r="BO79" s="1">
        <f t="shared" si="42"/>
        <v>1997222.3300000019</v>
      </c>
      <c r="BP79" s="1">
        <f>BP77-BP78</f>
        <v>1062678.1499999985</v>
      </c>
      <c r="BQ79" s="1">
        <f t="shared" ref="BQ79:CC79" si="43">BQ77-BQ78</f>
        <v>1666998.4899999984</v>
      </c>
      <c r="BR79" s="1">
        <f t="shared" si="43"/>
        <v>1496215</v>
      </c>
      <c r="BS79" s="1">
        <f t="shared" si="43"/>
        <v>2683319.3299999982</v>
      </c>
      <c r="BT79" s="1">
        <f t="shared" si="43"/>
        <v>2500659.4900000021</v>
      </c>
      <c r="BU79" s="1">
        <f t="shared" si="43"/>
        <v>922361.3599999994</v>
      </c>
      <c r="BV79" s="1">
        <f t="shared" si="43"/>
        <v>2499558.9900000021</v>
      </c>
      <c r="BW79" s="1">
        <f t="shared" si="43"/>
        <v>1355211.4799999967</v>
      </c>
      <c r="BX79" s="1">
        <f t="shared" si="43"/>
        <v>360210.9299999997</v>
      </c>
      <c r="BY79" s="1">
        <f t="shared" si="43"/>
        <v>1675240.9699999988</v>
      </c>
      <c r="BZ79" s="1">
        <f t="shared" si="43"/>
        <v>180314.50999999791</v>
      </c>
      <c r="CA79" s="1">
        <f t="shared" si="43"/>
        <v>1143830.1199999973</v>
      </c>
      <c r="CB79" s="1">
        <f t="shared" si="43"/>
        <v>548243.05999999866</v>
      </c>
      <c r="CC79" s="1">
        <f t="shared" si="43"/>
        <v>1013467.6400000006</v>
      </c>
      <c r="CD79" s="1">
        <f>CD77-CD78</f>
        <v>1677921.7300000004</v>
      </c>
      <c r="CE79" s="1">
        <f>CE77-CE78</f>
        <v>2851959.4799999967</v>
      </c>
      <c r="CF79" s="1">
        <f>CF77-CF78</f>
        <v>551456.6799999997</v>
      </c>
      <c r="CG79" s="1">
        <f>CG77-CG78</f>
        <v>2340904.4599999934</v>
      </c>
      <c r="CH79" s="1">
        <f>CH77-CH78</f>
        <v>-90688.940000001341</v>
      </c>
      <c r="CI79" s="1">
        <f t="shared" ref="CI79:DF79" si="44">CI77-CI78</f>
        <v>611971.63000000268</v>
      </c>
      <c r="CJ79" s="1">
        <f t="shared" si="44"/>
        <v>412064.38000000268</v>
      </c>
      <c r="CK79" s="1">
        <f t="shared" si="44"/>
        <v>1121146.0900000036</v>
      </c>
      <c r="CL79" s="1">
        <f t="shared" si="44"/>
        <v>690266.3200000003</v>
      </c>
      <c r="CM79" s="1">
        <f t="shared" si="44"/>
        <v>1038753.3800000027</v>
      </c>
      <c r="CN79" s="1">
        <f t="shared" si="44"/>
        <v>803263.10000000149</v>
      </c>
      <c r="CO79" s="1">
        <f t="shared" si="44"/>
        <v>780631.35000000149</v>
      </c>
      <c r="CP79" s="1">
        <f t="shared" si="44"/>
        <v>1337735.75</v>
      </c>
      <c r="CQ79" s="1">
        <f t="shared" si="44"/>
        <v>824250.5700000003</v>
      </c>
      <c r="CR79" s="1">
        <f t="shared" si="44"/>
        <v>1223704.2100000009</v>
      </c>
      <c r="CS79" s="1">
        <f t="shared" si="44"/>
        <v>1361689.2100000009</v>
      </c>
      <c r="CT79" s="1">
        <f t="shared" si="44"/>
        <v>1394677.25</v>
      </c>
      <c r="CU79" s="1">
        <f t="shared" si="44"/>
        <v>519030.92000000179</v>
      </c>
      <c r="CV79" s="1">
        <f t="shared" si="44"/>
        <v>249021.00999999791</v>
      </c>
      <c r="CW79" s="1">
        <f t="shared" si="44"/>
        <v>1127098.4799999967</v>
      </c>
      <c r="CX79" s="1">
        <f t="shared" si="44"/>
        <v>911092.6400000006</v>
      </c>
      <c r="CY79" s="1">
        <f t="shared" si="44"/>
        <v>894472.17000000179</v>
      </c>
      <c r="CZ79" s="1">
        <f t="shared" si="44"/>
        <v>914834.49000000209</v>
      </c>
      <c r="DA79" s="1">
        <f t="shared" si="44"/>
        <v>558745.5700000003</v>
      </c>
      <c r="DB79" s="1">
        <f t="shared" si="44"/>
        <v>1025094.450000003</v>
      </c>
      <c r="DC79" s="1">
        <f t="shared" si="44"/>
        <v>1574661.3100000024</v>
      </c>
      <c r="DD79" s="1">
        <f t="shared" si="44"/>
        <v>0</v>
      </c>
      <c r="DE79" s="1">
        <f t="shared" si="44"/>
        <v>0</v>
      </c>
      <c r="DF79" s="1">
        <f t="shared" si="44"/>
        <v>0</v>
      </c>
      <c r="DH79" s="6">
        <f t="shared" si="33"/>
        <v>198756387.50999999</v>
      </c>
    </row>
    <row r="80" spans="1:112" x14ac:dyDescent="0.2">
      <c r="A80" s="5" t="s">
        <v>15</v>
      </c>
      <c r="B80" s="5" t="s">
        <v>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8558974</v>
      </c>
      <c r="X80" s="1">
        <v>11538533</v>
      </c>
      <c r="Y80" s="1">
        <v>9298552</v>
      </c>
      <c r="Z80" s="1">
        <v>11989909</v>
      </c>
      <c r="AA80" s="1">
        <v>12861015</v>
      </c>
      <c r="AB80" s="1">
        <v>11092752</v>
      </c>
      <c r="AC80" s="1">
        <v>5495640</v>
      </c>
      <c r="AD80" s="1">
        <v>1559884</v>
      </c>
      <c r="AE80" s="1">
        <v>3179968</v>
      </c>
      <c r="AF80" s="1">
        <v>2922107.79</v>
      </c>
      <c r="AG80" s="1">
        <v>6658465</v>
      </c>
      <c r="AH80" s="1">
        <v>9834881</v>
      </c>
      <c r="AI80" s="1">
        <v>14283702</v>
      </c>
      <c r="AJ80" s="1">
        <v>21098460</v>
      </c>
      <c r="AK80" s="1">
        <v>25332120</v>
      </c>
      <c r="AL80" s="1">
        <v>24306694.629999999</v>
      </c>
      <c r="AM80" s="1">
        <v>29330068.759999998</v>
      </c>
      <c r="AN80" s="1">
        <v>16955904.059999999</v>
      </c>
      <c r="AO80" s="1">
        <v>26350639.039999999</v>
      </c>
      <c r="AP80" s="1">
        <v>20079175.93</v>
      </c>
      <c r="AQ80" s="1">
        <v>18853191.800000004</v>
      </c>
      <c r="AR80" s="1">
        <v>25464800.009999998</v>
      </c>
      <c r="AS80" s="1">
        <v>17453179.489999998</v>
      </c>
      <c r="AT80" s="1">
        <v>16537680.959999999</v>
      </c>
      <c r="AU80" s="1">
        <v>33878238.769999996</v>
      </c>
      <c r="AV80" s="1">
        <v>27683035.370000001</v>
      </c>
      <c r="AW80" s="1">
        <v>47654492.109999999</v>
      </c>
      <c r="AX80" s="1">
        <v>25772428.149999999</v>
      </c>
      <c r="AY80" s="1">
        <v>35572355.259999998</v>
      </c>
      <c r="AZ80" s="1">
        <v>16958338.740000002</v>
      </c>
      <c r="BA80" s="1">
        <v>32275330.919999998</v>
      </c>
      <c r="BB80" s="1">
        <v>28657432.660000004</v>
      </c>
      <c r="BC80" s="1">
        <v>30659025.180000007</v>
      </c>
      <c r="BD80" s="1">
        <v>15765953.949999999</v>
      </c>
      <c r="BE80" s="1">
        <v>20888412.32</v>
      </c>
      <c r="BF80" s="1">
        <v>25448278.289999999</v>
      </c>
      <c r="BG80" s="1">
        <v>51173153.700000003</v>
      </c>
      <c r="BH80" s="1">
        <v>46932574.810000017</v>
      </c>
      <c r="BI80" s="1">
        <v>39971908.399999999</v>
      </c>
      <c r="BJ80" s="1">
        <v>42724879.529999994</v>
      </c>
      <c r="BK80" s="1">
        <v>36458332.390000001</v>
      </c>
      <c r="BL80" s="1">
        <v>27683815.909999996</v>
      </c>
      <c r="BM80" s="1">
        <v>42842571.600000001</v>
      </c>
      <c r="BN80" s="1">
        <v>29413465.140000004</v>
      </c>
      <c r="BO80" s="1">
        <v>33778062.600000001</v>
      </c>
      <c r="BP80" s="1">
        <v>19455469.399999999</v>
      </c>
      <c r="BQ80" s="1">
        <v>23257764.670000002</v>
      </c>
      <c r="BR80" s="1">
        <v>23539784</v>
      </c>
      <c r="BS80" s="1">
        <v>41072668.230000004</v>
      </c>
      <c r="BT80" s="1">
        <v>45232502.310000002</v>
      </c>
      <c r="BU80" s="1">
        <v>30729018.120000001</v>
      </c>
      <c r="BV80" s="1">
        <v>50639142.700000003</v>
      </c>
      <c r="BW80" s="1">
        <v>53469413.959999993</v>
      </c>
      <c r="BX80" s="1">
        <v>37983487.930000007</v>
      </c>
      <c r="BY80" s="1">
        <v>39419739.450000003</v>
      </c>
      <c r="BZ80" s="1">
        <v>37081161.770000003</v>
      </c>
      <c r="CA80" s="1">
        <v>38985556.75</v>
      </c>
      <c r="CB80" s="1">
        <v>30500913.890000001</v>
      </c>
      <c r="CC80" s="1">
        <v>29049092.219999999</v>
      </c>
      <c r="CD80" s="1">
        <v>32079748.350000001</v>
      </c>
      <c r="CE80" s="1">
        <v>52997723.32</v>
      </c>
      <c r="CF80" s="1">
        <v>35153484.289999999</v>
      </c>
      <c r="CG80" s="1">
        <v>68591522.959999993</v>
      </c>
      <c r="CH80" s="1">
        <v>31479014.080000006</v>
      </c>
      <c r="CI80" s="1">
        <v>55066011.470000014</v>
      </c>
      <c r="CJ80" s="1">
        <v>47745086.220000006</v>
      </c>
      <c r="CK80" s="1">
        <v>35789455.289999999</v>
      </c>
      <c r="CL80" s="1">
        <v>40165025.939999998</v>
      </c>
      <c r="CM80" s="1">
        <v>43777882.789999992</v>
      </c>
      <c r="CN80" s="1">
        <v>45341194.109999999</v>
      </c>
      <c r="CO80" s="1">
        <v>34447022.520000003</v>
      </c>
      <c r="CP80" s="1">
        <v>45512936.280000001</v>
      </c>
      <c r="CQ80" s="1">
        <v>42691071.25</v>
      </c>
      <c r="CR80" s="1">
        <v>43885869.240000002</v>
      </c>
      <c r="CS80" s="1">
        <v>69052680.790000007</v>
      </c>
      <c r="CT80" s="1">
        <v>65018191.869999997</v>
      </c>
      <c r="CU80" s="1">
        <v>49284325.43</v>
      </c>
      <c r="CV80" s="1">
        <v>41562704.539999999</v>
      </c>
      <c r="CW80" s="1">
        <v>49053048.229999997</v>
      </c>
      <c r="CX80" s="1">
        <v>49711539.319999993</v>
      </c>
      <c r="CY80" s="1">
        <v>50254086.670000002</v>
      </c>
      <c r="CZ80" s="1">
        <v>36980185.350000001</v>
      </c>
      <c r="DA80" s="1">
        <v>40081565.320000008</v>
      </c>
      <c r="DB80" s="1">
        <v>36649343.949999996</v>
      </c>
      <c r="DC80" s="1">
        <v>49047340.780000001</v>
      </c>
      <c r="DD80" s="1">
        <v>0</v>
      </c>
      <c r="DE80" s="1">
        <v>0</v>
      </c>
      <c r="DF80" s="1">
        <v>0</v>
      </c>
      <c r="DH80" s="6">
        <f t="shared" si="33"/>
        <v>2735062159.0299997</v>
      </c>
    </row>
    <row r="81" spans="1:112" x14ac:dyDescent="0.2">
      <c r="A81" s="5" t="s">
        <v>15</v>
      </c>
      <c r="B81" s="5" t="s">
        <v>7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813103</v>
      </c>
      <c r="X81" s="1">
        <v>1096160</v>
      </c>
      <c r="Y81" s="1">
        <v>883361</v>
      </c>
      <c r="Z81" s="1">
        <v>1139041</v>
      </c>
      <c r="AA81" s="1">
        <v>1221797</v>
      </c>
      <c r="AB81" s="1">
        <v>1053811</v>
      </c>
      <c r="AC81" s="1">
        <v>522085</v>
      </c>
      <c r="AD81" s="1">
        <v>148189</v>
      </c>
      <c r="AE81" s="1">
        <v>302097</v>
      </c>
      <c r="AF81" s="1">
        <v>277601</v>
      </c>
      <c r="AG81" s="1">
        <v>632554</v>
      </c>
      <c r="AH81" s="1">
        <v>934314</v>
      </c>
      <c r="AI81" s="1">
        <v>1356952</v>
      </c>
      <c r="AJ81" s="1">
        <v>2004354</v>
      </c>
      <c r="AK81" s="1">
        <v>2406551</v>
      </c>
      <c r="AL81" s="1">
        <v>2309135.9299999997</v>
      </c>
      <c r="AM81" s="1">
        <v>2786356.54</v>
      </c>
      <c r="AN81" s="1">
        <v>1610810.8900000001</v>
      </c>
      <c r="AO81" s="1">
        <v>2503310.6799999997</v>
      </c>
      <c r="AP81" s="1">
        <v>1907521.6999999997</v>
      </c>
      <c r="AQ81" s="1">
        <v>1791053.2100000004</v>
      </c>
      <c r="AR81" s="1">
        <v>2419156.0099999998</v>
      </c>
      <c r="AS81" s="1">
        <v>1658052.0900000003</v>
      </c>
      <c r="AT81" s="1">
        <v>1571079.6700000002</v>
      </c>
      <c r="AU81" s="1">
        <v>3218432.7</v>
      </c>
      <c r="AV81" s="1">
        <v>2629888.42</v>
      </c>
      <c r="AW81" s="1">
        <v>4527176.7699999996</v>
      </c>
      <c r="AX81" s="1">
        <v>2448380.63</v>
      </c>
      <c r="AY81" s="1">
        <v>3379373.7800000003</v>
      </c>
      <c r="AZ81" s="1">
        <v>1611042.23</v>
      </c>
      <c r="BA81" s="1">
        <v>3066156.4599999995</v>
      </c>
      <c r="BB81" s="1">
        <v>2722456.16</v>
      </c>
      <c r="BC81" s="1">
        <v>2912607.3800000004</v>
      </c>
      <c r="BD81" s="1">
        <v>1497765.63</v>
      </c>
      <c r="BE81" s="1">
        <v>1984399.15</v>
      </c>
      <c r="BF81" s="1">
        <v>2417586.46</v>
      </c>
      <c r="BG81" s="1">
        <v>4861449.5599999996</v>
      </c>
      <c r="BH81" s="1">
        <v>4458594.62</v>
      </c>
      <c r="BI81" s="1">
        <v>3797331.32</v>
      </c>
      <c r="BJ81" s="1">
        <v>4058863.5999999996</v>
      </c>
      <c r="BK81" s="1">
        <v>3463541.64</v>
      </c>
      <c r="BL81" s="1">
        <v>2785304.27</v>
      </c>
      <c r="BM81" s="1">
        <v>4070044.2700000005</v>
      </c>
      <c r="BN81" s="1">
        <v>2794279.1300000004</v>
      </c>
      <c r="BO81" s="1">
        <v>3208915</v>
      </c>
      <c r="BP81" s="1">
        <v>1848269.5800000003</v>
      </c>
      <c r="BQ81" s="1">
        <v>2209487.64</v>
      </c>
      <c r="BR81" s="1">
        <v>2236280</v>
      </c>
      <c r="BS81" s="1">
        <v>3972180.7800000003</v>
      </c>
      <c r="BT81" s="1">
        <v>4297087.7399999984</v>
      </c>
      <c r="BU81" s="1">
        <v>2919256.76</v>
      </c>
      <c r="BV81" s="1">
        <v>4810718.68</v>
      </c>
      <c r="BW81" s="1">
        <v>5079594.28</v>
      </c>
      <c r="BX81" s="1">
        <v>3608431.3699999996</v>
      </c>
      <c r="BY81" s="1">
        <v>3744875.27</v>
      </c>
      <c r="BZ81" s="1">
        <v>3522710.3299999996</v>
      </c>
      <c r="CA81" s="1">
        <v>3703627.95</v>
      </c>
      <c r="CB81" s="1">
        <v>2897586.8500000006</v>
      </c>
      <c r="CC81" s="1">
        <v>2897586.8500000006</v>
      </c>
      <c r="CD81" s="1">
        <v>3047576.19</v>
      </c>
      <c r="CE81" s="1">
        <v>5034783.7600000007</v>
      </c>
      <c r="CF81" s="1">
        <v>3339581.0100000002</v>
      </c>
      <c r="CG81" s="1">
        <v>3339581.0100000002</v>
      </c>
      <c r="CH81" s="1">
        <v>2990506.3000000007</v>
      </c>
      <c r="CI81" s="1">
        <v>5231271.0700000012</v>
      </c>
      <c r="CJ81" s="1">
        <v>4535784</v>
      </c>
      <c r="CK81" s="1">
        <v>4535784</v>
      </c>
      <c r="CL81" s="1">
        <v>3815677.5300000003</v>
      </c>
      <c r="CM81" s="1">
        <v>4158898.84</v>
      </c>
      <c r="CN81" s="1">
        <v>4307413.55</v>
      </c>
      <c r="CO81" s="1">
        <v>3272737.25</v>
      </c>
      <c r="CP81" s="1">
        <v>4323728.92</v>
      </c>
      <c r="CQ81" s="1">
        <v>4055651.7</v>
      </c>
      <c r="CR81" s="1">
        <v>4169157.64</v>
      </c>
      <c r="CS81" s="1">
        <v>6560004.7400000002</v>
      </c>
      <c r="CT81" s="1">
        <v>6176728.21</v>
      </c>
      <c r="CU81" s="1">
        <v>4682011.01</v>
      </c>
      <c r="CV81" s="1">
        <v>3948456.98</v>
      </c>
      <c r="CW81" s="1">
        <v>4660039.66</v>
      </c>
      <c r="CX81" s="1">
        <v>4722596.2299999995</v>
      </c>
      <c r="CY81" s="1">
        <v>4774138.2899999991</v>
      </c>
      <c r="CZ81" s="1">
        <v>3513117.6200000006</v>
      </c>
      <c r="DA81" s="1">
        <v>3807748.7100000009</v>
      </c>
      <c r="DB81" s="1">
        <v>3481687.669999999</v>
      </c>
      <c r="DC81" s="1">
        <v>4659497.37</v>
      </c>
      <c r="DD81" s="1">
        <v>0</v>
      </c>
      <c r="DE81" s="1">
        <v>0</v>
      </c>
      <c r="DF81" s="1">
        <v>0</v>
      </c>
      <c r="DH81" s="6">
        <f t="shared" si="33"/>
        <v>258153889.23999989</v>
      </c>
    </row>
    <row r="82" spans="1:112" x14ac:dyDescent="0.2">
      <c r="A82" s="5" t="str">
        <f>A81</f>
        <v>IN</v>
      </c>
      <c r="B82" s="5" t="s">
        <v>41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H82" s="6">
        <f t="shared" si="33"/>
        <v>0</v>
      </c>
    </row>
    <row r="83" spans="1:112" x14ac:dyDescent="0.2">
      <c r="A83" s="5" t="s">
        <v>16</v>
      </c>
      <c r="B83" s="5" t="s">
        <v>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>
        <v>160527371</v>
      </c>
      <c r="BH83" s="1">
        <v>189919311</v>
      </c>
      <c r="BI83" s="1">
        <v>186353708</v>
      </c>
      <c r="BJ83" s="1">
        <v>181977180</v>
      </c>
      <c r="BK83" s="1">
        <v>206060734</v>
      </c>
      <c r="BL83" s="1">
        <v>194034469</v>
      </c>
      <c r="BM83" s="1">
        <v>206287094</v>
      </c>
      <c r="BN83" s="1">
        <v>132981289</v>
      </c>
      <c r="BO83" s="1">
        <v>120323444</v>
      </c>
      <c r="BP83" s="1">
        <v>98125865</v>
      </c>
      <c r="BQ83" s="1">
        <v>79715016</v>
      </c>
      <c r="BR83" s="1">
        <v>94415479</v>
      </c>
      <c r="BS83" s="1">
        <v>219293493</v>
      </c>
      <c r="BT83" s="1">
        <v>249711810</v>
      </c>
      <c r="BU83" s="1">
        <v>260937284</v>
      </c>
      <c r="BV83" s="1">
        <v>259678435</v>
      </c>
      <c r="BW83" s="1">
        <v>239618587</v>
      </c>
      <c r="BX83" s="1">
        <v>203046644</v>
      </c>
      <c r="BY83" s="1">
        <v>252901770</v>
      </c>
      <c r="BZ83" s="1">
        <v>192085924</v>
      </c>
      <c r="CA83" s="1">
        <v>172204880</v>
      </c>
      <c r="CB83" s="1">
        <v>140102333</v>
      </c>
      <c r="CC83" s="1">
        <v>122040797</v>
      </c>
      <c r="CD83" s="1">
        <v>146975336</v>
      </c>
      <c r="CE83" s="1">
        <v>248870846</v>
      </c>
      <c r="CF83" s="1">
        <v>275916403</v>
      </c>
      <c r="CG83" s="1">
        <v>290968780</v>
      </c>
      <c r="CH83" s="1">
        <v>261279554</v>
      </c>
      <c r="CI83" s="1">
        <v>301837633</v>
      </c>
      <c r="CJ83" s="1">
        <v>216186513</v>
      </c>
      <c r="CK83" s="1">
        <v>248409034</v>
      </c>
      <c r="CL83" s="1">
        <v>208813091</v>
      </c>
      <c r="CM83" s="1">
        <v>199709373</v>
      </c>
      <c r="CN83" s="1">
        <v>185151156</v>
      </c>
      <c r="CO83" s="1">
        <v>173872672</v>
      </c>
      <c r="CP83" s="1">
        <v>189802925</v>
      </c>
      <c r="CQ83" s="1">
        <v>283742310</v>
      </c>
      <c r="CR83" s="1">
        <v>306043913</v>
      </c>
      <c r="CS83" s="1">
        <v>297147683</v>
      </c>
      <c r="CT83" s="1">
        <v>240738711</v>
      </c>
      <c r="CU83" s="1">
        <v>227310386</v>
      </c>
      <c r="CV83" s="1">
        <v>189978288</v>
      </c>
      <c r="CW83" s="1">
        <v>232226281</v>
      </c>
      <c r="CX83" s="1">
        <v>180246274</v>
      </c>
      <c r="CY83" s="1">
        <v>168118291</v>
      </c>
      <c r="CZ83" s="1">
        <v>177188635</v>
      </c>
      <c r="DA83" s="1">
        <v>167291073</v>
      </c>
      <c r="DB83" s="1">
        <v>162074046</v>
      </c>
      <c r="DC83" s="1">
        <v>267020698</v>
      </c>
      <c r="DD83" s="1">
        <v>0</v>
      </c>
      <c r="DE83" s="1">
        <v>0</v>
      </c>
      <c r="DF83" s="1">
        <v>0</v>
      </c>
      <c r="DH83" s="6">
        <f t="shared" si="33"/>
        <v>10009262822</v>
      </c>
    </row>
    <row r="84" spans="1:112" x14ac:dyDescent="0.2">
      <c r="A84" s="5" t="s">
        <v>16</v>
      </c>
      <c r="B84" s="5" t="s">
        <v>42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>
        <v>155205570</v>
      </c>
      <c r="BH84" s="1">
        <v>181682175</v>
      </c>
      <c r="BI84" s="1">
        <v>177051484</v>
      </c>
      <c r="BJ84" s="1">
        <v>171184862</v>
      </c>
      <c r="BK84" s="1">
        <v>196673414</v>
      </c>
      <c r="BL84" s="1">
        <v>185858023</v>
      </c>
      <c r="BM84" s="1">
        <v>197023461</v>
      </c>
      <c r="BN84" s="1">
        <v>126251069</v>
      </c>
      <c r="BO84" s="1">
        <v>115598817</v>
      </c>
      <c r="BP84" s="1">
        <v>94947384</v>
      </c>
      <c r="BQ84" s="1">
        <v>77475871</v>
      </c>
      <c r="BR84" s="1">
        <v>90590784</v>
      </c>
      <c r="BS84" s="1">
        <v>201096054</v>
      </c>
      <c r="BT84" s="1">
        <v>240912679</v>
      </c>
      <c r="BU84" s="1">
        <v>251696146</v>
      </c>
      <c r="BV84" s="1">
        <v>249101689</v>
      </c>
      <c r="BW84" s="1">
        <v>228098725</v>
      </c>
      <c r="BX84" s="1">
        <v>193868395</v>
      </c>
      <c r="BY84" s="1">
        <v>243185404</v>
      </c>
      <c r="BZ84" s="1">
        <v>185915557</v>
      </c>
      <c r="CA84" s="1">
        <v>164148273</v>
      </c>
      <c r="CB84" s="1">
        <v>135278899</v>
      </c>
      <c r="CC84" s="1">
        <v>118806389</v>
      </c>
      <c r="CD84" s="1">
        <v>142898920</v>
      </c>
      <c r="CE84" s="1">
        <v>239831013</v>
      </c>
      <c r="CF84" s="1">
        <v>266311214</v>
      </c>
      <c r="CG84" s="1">
        <v>279022900</v>
      </c>
      <c r="CH84" s="1">
        <v>252841702</v>
      </c>
      <c r="CI84" s="1">
        <v>293210681</v>
      </c>
      <c r="CJ84" s="1">
        <v>209583430</v>
      </c>
      <c r="CK84" s="1">
        <v>241680254</v>
      </c>
      <c r="CL84" s="1">
        <v>204515829</v>
      </c>
      <c r="CM84" s="1">
        <v>195642295</v>
      </c>
      <c r="CN84" s="1">
        <v>181732151</v>
      </c>
      <c r="CO84" s="1">
        <v>171166091</v>
      </c>
      <c r="CP84" s="1">
        <v>186808315</v>
      </c>
      <c r="CQ84" s="1">
        <v>277632579</v>
      </c>
      <c r="CR84" s="1">
        <v>299520627</v>
      </c>
      <c r="CS84" s="1">
        <v>289042122</v>
      </c>
      <c r="CT84" s="1">
        <v>235771991</v>
      </c>
      <c r="CU84" s="1">
        <v>223109404</v>
      </c>
      <c r="CV84" s="1">
        <v>186676456</v>
      </c>
      <c r="CW84" s="1">
        <v>228092079</v>
      </c>
      <c r="CX84" s="1">
        <v>177701941</v>
      </c>
      <c r="CY84" s="1">
        <v>166157047</v>
      </c>
      <c r="CZ84" s="1">
        <v>175578584</v>
      </c>
      <c r="DA84" s="1">
        <v>165559913</v>
      </c>
      <c r="DB84" s="1">
        <v>160715225</v>
      </c>
      <c r="DC84" s="1">
        <v>263077820</v>
      </c>
      <c r="DD84" s="1">
        <v>0</v>
      </c>
      <c r="DE84" s="1">
        <v>0</v>
      </c>
      <c r="DF84" s="1">
        <v>0</v>
      </c>
      <c r="DH84" s="6">
        <f t="shared" si="33"/>
        <v>9695531707</v>
      </c>
    </row>
    <row r="85" spans="1:112" x14ac:dyDescent="0.2">
      <c r="A85" s="5" t="s">
        <v>16</v>
      </c>
      <c r="B85" s="5" t="s">
        <v>43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>
        <f t="shared" ref="BG85:CC85" si="45">BG83-BG84</f>
        <v>5321801</v>
      </c>
      <c r="BH85" s="1">
        <f t="shared" si="45"/>
        <v>8237136</v>
      </c>
      <c r="BI85" s="1">
        <f t="shared" si="45"/>
        <v>9302224</v>
      </c>
      <c r="BJ85" s="1">
        <f t="shared" si="45"/>
        <v>10792318</v>
      </c>
      <c r="BK85" s="1">
        <f t="shared" si="45"/>
        <v>9387320</v>
      </c>
      <c r="BL85" s="1">
        <f t="shared" si="45"/>
        <v>8176446</v>
      </c>
      <c r="BM85" s="1">
        <f t="shared" si="45"/>
        <v>9263633</v>
      </c>
      <c r="BN85" s="1">
        <f t="shared" si="45"/>
        <v>6730220</v>
      </c>
      <c r="BO85" s="1">
        <f t="shared" si="45"/>
        <v>4724627</v>
      </c>
      <c r="BP85" s="1">
        <f t="shared" si="45"/>
        <v>3178481</v>
      </c>
      <c r="BQ85" s="1">
        <f t="shared" si="45"/>
        <v>2239145</v>
      </c>
      <c r="BR85" s="1">
        <f t="shared" si="45"/>
        <v>3824695</v>
      </c>
      <c r="BS85" s="1">
        <f t="shared" si="45"/>
        <v>18197439</v>
      </c>
      <c r="BT85" s="1">
        <f t="shared" si="45"/>
        <v>8799131</v>
      </c>
      <c r="BU85" s="1">
        <f t="shared" si="45"/>
        <v>9241138</v>
      </c>
      <c r="BV85" s="1">
        <f t="shared" si="45"/>
        <v>10576746</v>
      </c>
      <c r="BW85" s="1">
        <f t="shared" si="45"/>
        <v>11519862</v>
      </c>
      <c r="BX85" s="1">
        <f t="shared" si="45"/>
        <v>9178249</v>
      </c>
      <c r="BY85" s="1">
        <f t="shared" si="45"/>
        <v>9716366</v>
      </c>
      <c r="BZ85" s="1">
        <f t="shared" si="45"/>
        <v>6170367</v>
      </c>
      <c r="CA85" s="1">
        <f t="shared" si="45"/>
        <v>8056607</v>
      </c>
      <c r="CB85" s="1">
        <f t="shared" si="45"/>
        <v>4823434</v>
      </c>
      <c r="CC85" s="1">
        <f t="shared" si="45"/>
        <v>3234408</v>
      </c>
      <c r="CD85" s="1">
        <f>CD83-CD84</f>
        <v>4076416</v>
      </c>
      <c r="CE85" s="1">
        <f>CE83-CE84</f>
        <v>9039833</v>
      </c>
      <c r="CF85" s="1">
        <f>CF83-CF84</f>
        <v>9605189</v>
      </c>
      <c r="CG85" s="1">
        <f>CG83-CG84</f>
        <v>11945880</v>
      </c>
      <c r="CH85" s="1">
        <f>CH83-CH84</f>
        <v>8437852</v>
      </c>
      <c r="CI85" s="1">
        <f t="shared" ref="CI85:DF85" si="46">CI83-CI84</f>
        <v>8626952</v>
      </c>
      <c r="CJ85" s="1">
        <f t="shared" si="46"/>
        <v>6603083</v>
      </c>
      <c r="CK85" s="1">
        <f t="shared" si="46"/>
        <v>6728780</v>
      </c>
      <c r="CL85" s="1">
        <f t="shared" si="46"/>
        <v>4297262</v>
      </c>
      <c r="CM85" s="1">
        <f t="shared" si="46"/>
        <v>4067078</v>
      </c>
      <c r="CN85" s="1">
        <f t="shared" si="46"/>
        <v>3419005</v>
      </c>
      <c r="CO85" s="1">
        <f t="shared" si="46"/>
        <v>2706581</v>
      </c>
      <c r="CP85" s="1">
        <f t="shared" si="46"/>
        <v>2994610</v>
      </c>
      <c r="CQ85" s="1">
        <f t="shared" si="46"/>
        <v>6109731</v>
      </c>
      <c r="CR85" s="1">
        <f t="shared" si="46"/>
        <v>6523286</v>
      </c>
      <c r="CS85" s="1">
        <f t="shared" si="46"/>
        <v>8105561</v>
      </c>
      <c r="CT85" s="1">
        <f t="shared" si="46"/>
        <v>4966720</v>
      </c>
      <c r="CU85" s="1">
        <f t="shared" si="46"/>
        <v>4200982</v>
      </c>
      <c r="CV85" s="1">
        <f t="shared" si="46"/>
        <v>3301832</v>
      </c>
      <c r="CW85" s="1">
        <f t="shared" si="46"/>
        <v>4134202</v>
      </c>
      <c r="CX85" s="1">
        <f t="shared" si="46"/>
        <v>2544333</v>
      </c>
      <c r="CY85" s="1">
        <f t="shared" si="46"/>
        <v>1961244</v>
      </c>
      <c r="CZ85" s="1">
        <f t="shared" si="46"/>
        <v>1610051</v>
      </c>
      <c r="DA85" s="1">
        <f t="shared" si="46"/>
        <v>1731160</v>
      </c>
      <c r="DB85" s="1">
        <f t="shared" si="46"/>
        <v>1358821</v>
      </c>
      <c r="DC85" s="1">
        <f t="shared" si="46"/>
        <v>3942878</v>
      </c>
      <c r="DD85" s="1">
        <f t="shared" si="46"/>
        <v>0</v>
      </c>
      <c r="DE85" s="1">
        <f t="shared" si="46"/>
        <v>0</v>
      </c>
      <c r="DF85" s="1">
        <f t="shared" si="46"/>
        <v>0</v>
      </c>
      <c r="DH85" s="6">
        <f t="shared" si="33"/>
        <v>313731115</v>
      </c>
    </row>
    <row r="86" spans="1:112" x14ac:dyDescent="0.2">
      <c r="A86" s="5" t="s">
        <v>16</v>
      </c>
      <c r="B86" s="5" t="s">
        <v>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>
        <v>22014698</v>
      </c>
      <c r="BH86" s="1">
        <v>18582842</v>
      </c>
      <c r="BI86" s="1">
        <v>19073128</v>
      </c>
      <c r="BJ86" s="1">
        <v>16835233</v>
      </c>
      <c r="BK86" s="1">
        <v>15105189</v>
      </c>
      <c r="BL86" s="1">
        <v>-845377</v>
      </c>
      <c r="BM86" s="1">
        <v>20975191</v>
      </c>
      <c r="BN86" s="1">
        <v>14636899</v>
      </c>
      <c r="BO86" s="1">
        <v>14550824</v>
      </c>
      <c r="BP86" s="1">
        <v>8195048</v>
      </c>
      <c r="BQ86" s="1">
        <v>9644263</v>
      </c>
      <c r="BR86" s="1">
        <v>7662828</v>
      </c>
      <c r="BS86" s="1">
        <v>18155498</v>
      </c>
      <c r="BT86" s="1">
        <v>25404712</v>
      </c>
      <c r="BU86" s="1">
        <v>18017353</v>
      </c>
      <c r="BV86" s="1">
        <v>30913033</v>
      </c>
      <c r="BW86" s="1">
        <v>20864472</v>
      </c>
      <c r="BX86" s="1">
        <v>8463732</v>
      </c>
      <c r="BY86" s="1">
        <v>16760995</v>
      </c>
      <c r="BZ86" s="1">
        <v>17890802</v>
      </c>
      <c r="CA86" s="1">
        <v>17210244</v>
      </c>
      <c r="CB86" s="1">
        <v>14518082</v>
      </c>
      <c r="CC86" s="1">
        <v>13443364</v>
      </c>
      <c r="CD86" s="1">
        <v>10581830</v>
      </c>
      <c r="CE86" s="1">
        <v>34077993</v>
      </c>
      <c r="CF86" s="1">
        <v>12970435</v>
      </c>
      <c r="CG86" s="1">
        <v>34755047</v>
      </c>
      <c r="CH86" s="1">
        <v>15197060</v>
      </c>
      <c r="CI86" s="1">
        <v>28162002</v>
      </c>
      <c r="CJ86" s="1">
        <v>34977452</v>
      </c>
      <c r="CK86" s="1">
        <v>15324368</v>
      </c>
      <c r="CL86" s="1">
        <v>20404281</v>
      </c>
      <c r="CM86" s="1">
        <v>22950706</v>
      </c>
      <c r="CN86" s="1">
        <v>21683263</v>
      </c>
      <c r="CO86" s="1">
        <v>13076055</v>
      </c>
      <c r="CP86" s="1">
        <v>19126974</v>
      </c>
      <c r="CQ86" s="1">
        <v>24200602</v>
      </c>
      <c r="CR86" s="1">
        <v>25285033</v>
      </c>
      <c r="CS86" s="1">
        <v>39605835</v>
      </c>
      <c r="CT86" s="1">
        <v>31089357</v>
      </c>
      <c r="CU86" s="1">
        <v>23413841</v>
      </c>
      <c r="CV86" s="1">
        <v>19788638</v>
      </c>
      <c r="CW86" s="1">
        <v>20336864</v>
      </c>
      <c r="CX86" s="1">
        <v>20550863</v>
      </c>
      <c r="CY86" s="1">
        <v>17683967</v>
      </c>
      <c r="CZ86" s="1">
        <v>12682013</v>
      </c>
      <c r="DA86" s="1">
        <v>17233936</v>
      </c>
      <c r="DB86" s="1">
        <v>10200806</v>
      </c>
      <c r="DC86" s="1">
        <v>21438979</v>
      </c>
      <c r="DD86" s="1">
        <v>0</v>
      </c>
      <c r="DE86" s="1">
        <v>0</v>
      </c>
      <c r="DF86" s="1">
        <v>0</v>
      </c>
      <c r="DH86" s="6">
        <f t="shared" si="33"/>
        <v>934871253</v>
      </c>
    </row>
    <row r="87" spans="1:112" x14ac:dyDescent="0.2">
      <c r="A87" s="5" t="s">
        <v>16</v>
      </c>
      <c r="B87" s="5" t="s">
        <v>44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>
        <v>21030170</v>
      </c>
      <c r="BH87" s="1">
        <v>18043604</v>
      </c>
      <c r="BI87" s="1">
        <v>18293013</v>
      </c>
      <c r="BJ87" s="1">
        <v>16003059</v>
      </c>
      <c r="BK87" s="1">
        <v>15096179</v>
      </c>
      <c r="BL87" s="1">
        <v>971537</v>
      </c>
      <c r="BM87" s="1">
        <v>20001498</v>
      </c>
      <c r="BN87" s="1">
        <v>14077463</v>
      </c>
      <c r="BO87" s="1">
        <v>13868845</v>
      </c>
      <c r="BP87" s="1">
        <v>7824049</v>
      </c>
      <c r="BQ87" s="1">
        <v>9312698</v>
      </c>
      <c r="BR87" s="1">
        <v>7321400</v>
      </c>
      <c r="BS87" s="1">
        <v>17585314</v>
      </c>
      <c r="BT87" s="1">
        <v>24166698</v>
      </c>
      <c r="BU87" s="1">
        <v>17435802</v>
      </c>
      <c r="BV87" s="1">
        <v>29846545</v>
      </c>
      <c r="BW87" s="1">
        <v>20743298</v>
      </c>
      <c r="BX87" s="1">
        <v>10192823</v>
      </c>
      <c r="BY87" s="1">
        <v>16084540</v>
      </c>
      <c r="BZ87" s="1">
        <v>17169890</v>
      </c>
      <c r="CA87" s="1">
        <v>16680908</v>
      </c>
      <c r="CB87" s="1">
        <v>14202279</v>
      </c>
      <c r="CC87" s="1">
        <v>13135021</v>
      </c>
      <c r="CD87" s="1">
        <v>10596301</v>
      </c>
      <c r="CE87" s="1">
        <v>33075649</v>
      </c>
      <c r="CF87" s="1">
        <v>12903773</v>
      </c>
      <c r="CG87" s="1">
        <v>33559616</v>
      </c>
      <c r="CH87" s="1">
        <v>15335041</v>
      </c>
      <c r="CI87" s="1">
        <v>27632361</v>
      </c>
      <c r="CJ87" s="1">
        <v>32574356</v>
      </c>
      <c r="CK87" s="1">
        <v>15011687</v>
      </c>
      <c r="CL87" s="1">
        <v>19962590</v>
      </c>
      <c r="CM87" s="1">
        <v>22190772</v>
      </c>
      <c r="CN87" s="1">
        <v>21301121</v>
      </c>
      <c r="CO87" s="1">
        <v>12767466</v>
      </c>
      <c r="CP87" s="1">
        <v>18547138</v>
      </c>
      <c r="CQ87" s="1">
        <v>23558308</v>
      </c>
      <c r="CR87" s="1">
        <v>24557003</v>
      </c>
      <c r="CS87" s="1">
        <v>38299533</v>
      </c>
      <c r="CT87" s="1">
        <v>30172139</v>
      </c>
      <c r="CU87" s="1">
        <v>22703352</v>
      </c>
      <c r="CV87" s="1">
        <v>19258449</v>
      </c>
      <c r="CW87" s="1">
        <v>19891173</v>
      </c>
      <c r="CX87" s="1">
        <v>20224214</v>
      </c>
      <c r="CY87" s="1">
        <v>17361465</v>
      </c>
      <c r="CZ87" s="1">
        <v>12482254</v>
      </c>
      <c r="DA87" s="1">
        <v>17029549</v>
      </c>
      <c r="DB87" s="1">
        <v>10109459</v>
      </c>
      <c r="DC87" s="1">
        <v>21168423</v>
      </c>
      <c r="DD87" s="1">
        <v>0</v>
      </c>
      <c r="DE87" s="1">
        <v>0</v>
      </c>
      <c r="DF87" s="1">
        <v>0</v>
      </c>
      <c r="DH87" s="6">
        <f t="shared" si="33"/>
        <v>911359825</v>
      </c>
    </row>
    <row r="88" spans="1:112" x14ac:dyDescent="0.2">
      <c r="A88" s="5" t="s">
        <v>16</v>
      </c>
      <c r="B88" s="5" t="s">
        <v>45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>
        <f t="shared" ref="BG88:CC88" si="47">BG86-BG87</f>
        <v>984528</v>
      </c>
      <c r="BH88" s="1">
        <f t="shared" si="47"/>
        <v>539238</v>
      </c>
      <c r="BI88" s="1">
        <f t="shared" si="47"/>
        <v>780115</v>
      </c>
      <c r="BJ88" s="1">
        <f t="shared" si="47"/>
        <v>832174</v>
      </c>
      <c r="BK88" s="1">
        <f t="shared" si="47"/>
        <v>9010</v>
      </c>
      <c r="BL88" s="1">
        <f t="shared" si="47"/>
        <v>-1816914</v>
      </c>
      <c r="BM88" s="1">
        <f t="shared" si="47"/>
        <v>973693</v>
      </c>
      <c r="BN88" s="1">
        <f t="shared" si="47"/>
        <v>559436</v>
      </c>
      <c r="BO88" s="1">
        <f t="shared" si="47"/>
        <v>681979</v>
      </c>
      <c r="BP88" s="1">
        <f t="shared" si="47"/>
        <v>370999</v>
      </c>
      <c r="BQ88" s="1">
        <f t="shared" si="47"/>
        <v>331565</v>
      </c>
      <c r="BR88" s="1">
        <f t="shared" si="47"/>
        <v>341428</v>
      </c>
      <c r="BS88" s="1">
        <f t="shared" si="47"/>
        <v>570184</v>
      </c>
      <c r="BT88" s="1">
        <f t="shared" si="47"/>
        <v>1238014</v>
      </c>
      <c r="BU88" s="1">
        <f t="shared" si="47"/>
        <v>581551</v>
      </c>
      <c r="BV88" s="1">
        <f t="shared" si="47"/>
        <v>1066488</v>
      </c>
      <c r="BW88" s="1">
        <f t="shared" si="47"/>
        <v>121174</v>
      </c>
      <c r="BX88" s="1">
        <f t="shared" si="47"/>
        <v>-1729091</v>
      </c>
      <c r="BY88" s="1">
        <f t="shared" si="47"/>
        <v>676455</v>
      </c>
      <c r="BZ88" s="1">
        <f t="shared" si="47"/>
        <v>720912</v>
      </c>
      <c r="CA88" s="1">
        <f t="shared" si="47"/>
        <v>529336</v>
      </c>
      <c r="CB88" s="1">
        <f t="shared" si="47"/>
        <v>315803</v>
      </c>
      <c r="CC88" s="1">
        <f t="shared" si="47"/>
        <v>308343</v>
      </c>
      <c r="CD88" s="1">
        <f>CD86-CD87</f>
        <v>-14471</v>
      </c>
      <c r="CE88" s="1">
        <f>CE86-CE87</f>
        <v>1002344</v>
      </c>
      <c r="CF88" s="1">
        <f>CF86-CF87</f>
        <v>66662</v>
      </c>
      <c r="CG88" s="1">
        <f>CG86-CG87</f>
        <v>1195431</v>
      </c>
      <c r="CH88" s="1">
        <f>CH86-CH87</f>
        <v>-137981</v>
      </c>
      <c r="CI88" s="1">
        <f t="shared" ref="CI88:DF88" si="48">CI86-CI87</f>
        <v>529641</v>
      </c>
      <c r="CJ88" s="1">
        <f t="shared" si="48"/>
        <v>2403096</v>
      </c>
      <c r="CK88" s="1">
        <f t="shared" si="48"/>
        <v>312681</v>
      </c>
      <c r="CL88" s="1">
        <f t="shared" si="48"/>
        <v>441691</v>
      </c>
      <c r="CM88" s="1">
        <f t="shared" si="48"/>
        <v>759934</v>
      </c>
      <c r="CN88" s="1">
        <f t="shared" si="48"/>
        <v>382142</v>
      </c>
      <c r="CO88" s="1">
        <f t="shared" si="48"/>
        <v>308589</v>
      </c>
      <c r="CP88" s="1">
        <f t="shared" si="48"/>
        <v>579836</v>
      </c>
      <c r="CQ88" s="1">
        <f t="shared" si="48"/>
        <v>642294</v>
      </c>
      <c r="CR88" s="1">
        <f t="shared" si="48"/>
        <v>728030</v>
      </c>
      <c r="CS88" s="1">
        <f t="shared" si="48"/>
        <v>1306302</v>
      </c>
      <c r="CT88" s="1">
        <f t="shared" si="48"/>
        <v>917218</v>
      </c>
      <c r="CU88" s="1">
        <f t="shared" si="48"/>
        <v>710489</v>
      </c>
      <c r="CV88" s="1">
        <f t="shared" si="48"/>
        <v>530189</v>
      </c>
      <c r="CW88" s="1">
        <f t="shared" si="48"/>
        <v>445691</v>
      </c>
      <c r="CX88" s="1">
        <f t="shared" si="48"/>
        <v>326649</v>
      </c>
      <c r="CY88" s="1">
        <f t="shared" si="48"/>
        <v>322502</v>
      </c>
      <c r="CZ88" s="1">
        <f t="shared" si="48"/>
        <v>199759</v>
      </c>
      <c r="DA88" s="1">
        <f t="shared" si="48"/>
        <v>204387</v>
      </c>
      <c r="DB88" s="1">
        <f t="shared" si="48"/>
        <v>91347</v>
      </c>
      <c r="DC88" s="1">
        <f t="shared" si="48"/>
        <v>270556</v>
      </c>
      <c r="DD88" s="1">
        <f t="shared" si="48"/>
        <v>0</v>
      </c>
      <c r="DE88" s="1">
        <f t="shared" si="48"/>
        <v>0</v>
      </c>
      <c r="DF88" s="1">
        <f t="shared" si="48"/>
        <v>0</v>
      </c>
      <c r="DH88" s="6">
        <f t="shared" si="33"/>
        <v>23511428</v>
      </c>
    </row>
    <row r="89" spans="1:112" x14ac:dyDescent="0.2">
      <c r="A89" s="5" t="s">
        <v>16</v>
      </c>
      <c r="B89" s="5" t="s">
        <v>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>
        <v>1296180</v>
      </c>
      <c r="BH89" s="1">
        <v>1410880</v>
      </c>
      <c r="BI89" s="1">
        <v>7957840</v>
      </c>
      <c r="BJ89" s="1">
        <v>10261400</v>
      </c>
      <c r="BK89" s="1">
        <v>5987450</v>
      </c>
      <c r="BL89" s="1">
        <v>11340</v>
      </c>
      <c r="BM89" s="1">
        <v>9111590</v>
      </c>
      <c r="BN89" s="1">
        <v>9197200</v>
      </c>
      <c r="BO89" s="1">
        <v>8873900</v>
      </c>
      <c r="BP89" s="1">
        <v>4094250</v>
      </c>
      <c r="BQ89" s="1">
        <v>6831760</v>
      </c>
      <c r="BR89" s="1">
        <v>4843660</v>
      </c>
      <c r="BS89" s="1">
        <v>8060970</v>
      </c>
      <c r="BT89" s="1">
        <v>14370300</v>
      </c>
      <c r="BU89" s="1">
        <v>8929680</v>
      </c>
      <c r="BV89" s="1">
        <v>20052610</v>
      </c>
      <c r="BW89" s="1">
        <v>14332720</v>
      </c>
      <c r="BX89" s="1">
        <v>3054940</v>
      </c>
      <c r="BY89" s="1">
        <v>7146970</v>
      </c>
      <c r="BZ89" s="1">
        <v>10403960</v>
      </c>
      <c r="CA89" s="1">
        <v>9767640</v>
      </c>
      <c r="CB89" s="1">
        <v>9363850</v>
      </c>
      <c r="CC89" s="1">
        <v>9199470</v>
      </c>
      <c r="CD89" s="1">
        <v>6572880</v>
      </c>
      <c r="CE89" s="1">
        <v>18313870</v>
      </c>
      <c r="CF89" s="1">
        <v>4983550</v>
      </c>
      <c r="CG89" s="1">
        <v>25527780</v>
      </c>
      <c r="CH89" s="1">
        <v>8786090</v>
      </c>
      <c r="CI89" s="1">
        <v>16158360</v>
      </c>
      <c r="CJ89" s="1">
        <v>23940150</v>
      </c>
      <c r="CK89" s="1">
        <v>8030320</v>
      </c>
      <c r="CL89" s="1">
        <v>13174990</v>
      </c>
      <c r="CM89" s="1">
        <v>18951410</v>
      </c>
      <c r="CN89" s="1">
        <v>17248600</v>
      </c>
      <c r="CO89" s="1">
        <v>10494290</v>
      </c>
      <c r="CP89" s="1">
        <v>12472230</v>
      </c>
      <c r="CQ89" s="1">
        <v>8215620</v>
      </c>
      <c r="CR89" s="1">
        <v>12687080</v>
      </c>
      <c r="CS89" s="1">
        <v>30098140</v>
      </c>
      <c r="CT89" s="1">
        <v>22087400</v>
      </c>
      <c r="CU89" s="1">
        <v>15197500</v>
      </c>
      <c r="CV89" s="1">
        <v>14205960</v>
      </c>
      <c r="CW89" s="1">
        <v>13386360</v>
      </c>
      <c r="CX89" s="1">
        <v>14453790</v>
      </c>
      <c r="CY89" s="1">
        <v>12339200</v>
      </c>
      <c r="CZ89" s="1">
        <v>6910410</v>
      </c>
      <c r="DA89" s="1">
        <v>12241680</v>
      </c>
      <c r="DB89" s="1">
        <v>6563070</v>
      </c>
      <c r="DC89" s="1">
        <v>12216730</v>
      </c>
      <c r="DD89" s="1">
        <v>0</v>
      </c>
      <c r="DE89" s="1">
        <v>0</v>
      </c>
      <c r="DF89" s="1">
        <v>0</v>
      </c>
      <c r="DH89" s="6">
        <f t="shared" si="33"/>
        <v>549818020</v>
      </c>
    </row>
    <row r="90" spans="1:112" x14ac:dyDescent="0.2">
      <c r="A90" s="5" t="s">
        <v>16</v>
      </c>
      <c r="B90" s="5" t="s">
        <v>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>
        <v>129618</v>
      </c>
      <c r="BH90" s="1">
        <v>141088</v>
      </c>
      <c r="BI90" s="1">
        <v>795784</v>
      </c>
      <c r="BJ90" s="1">
        <v>1026140</v>
      </c>
      <c r="BK90" s="1">
        <v>598745</v>
      </c>
      <c r="BL90" s="1">
        <v>1134</v>
      </c>
      <c r="BM90" s="1">
        <v>911159</v>
      </c>
      <c r="BN90" s="1">
        <v>919720</v>
      </c>
      <c r="BO90" s="1">
        <v>887390</v>
      </c>
      <c r="BP90" s="1">
        <v>409425</v>
      </c>
      <c r="BQ90" s="1">
        <v>683176</v>
      </c>
      <c r="BR90" s="1">
        <v>484366</v>
      </c>
      <c r="BS90" s="1">
        <v>806097</v>
      </c>
      <c r="BT90" s="1">
        <v>1437030</v>
      </c>
      <c r="BU90" s="1">
        <v>892968</v>
      </c>
      <c r="BV90" s="1">
        <v>2005261</v>
      </c>
      <c r="BW90" s="1">
        <v>1433272</v>
      </c>
      <c r="BX90" s="1">
        <v>305494</v>
      </c>
      <c r="BY90" s="1">
        <v>714697</v>
      </c>
      <c r="BZ90" s="1">
        <v>1040396</v>
      </c>
      <c r="CA90" s="1">
        <v>976764</v>
      </c>
      <c r="CB90" s="1">
        <v>936385</v>
      </c>
      <c r="CC90" s="1">
        <v>919947</v>
      </c>
      <c r="CD90" s="1">
        <v>657288</v>
      </c>
      <c r="CE90" s="1">
        <v>1831387</v>
      </c>
      <c r="CF90" s="1">
        <v>498355</v>
      </c>
      <c r="CG90" s="1">
        <v>2552778</v>
      </c>
      <c r="CH90" s="1">
        <v>878609</v>
      </c>
      <c r="CI90" s="1">
        <v>1615836</v>
      </c>
      <c r="CJ90" s="1">
        <v>2394015</v>
      </c>
      <c r="CK90" s="1">
        <v>803032</v>
      </c>
      <c r="CL90" s="1">
        <v>1317499</v>
      </c>
      <c r="CM90" s="1">
        <v>1895141</v>
      </c>
      <c r="CN90" s="1">
        <v>1724860</v>
      </c>
      <c r="CO90" s="1">
        <v>1049429</v>
      </c>
      <c r="CP90" s="1">
        <v>1247223</v>
      </c>
      <c r="CQ90" s="1">
        <v>821562</v>
      </c>
      <c r="CR90" s="1">
        <v>1268708</v>
      </c>
      <c r="CS90" s="1">
        <v>3009814</v>
      </c>
      <c r="CT90" s="1">
        <v>2208740</v>
      </c>
      <c r="CU90" s="1">
        <v>1519750</v>
      </c>
      <c r="CV90" s="1">
        <v>1420596</v>
      </c>
      <c r="CW90" s="1">
        <v>1338636</v>
      </c>
      <c r="CX90" s="1">
        <v>1445379</v>
      </c>
      <c r="CY90" s="1">
        <v>1233920</v>
      </c>
      <c r="CZ90" s="1">
        <v>691041</v>
      </c>
      <c r="DA90" s="1">
        <v>1224168</v>
      </c>
      <c r="DB90" s="1">
        <v>656307</v>
      </c>
      <c r="DC90" s="1">
        <v>1221673</v>
      </c>
      <c r="DD90" s="1">
        <v>0</v>
      </c>
      <c r="DE90" s="1">
        <v>0</v>
      </c>
      <c r="DF90" s="1">
        <v>0</v>
      </c>
      <c r="DH90" s="6">
        <f t="shared" si="33"/>
        <v>54981802</v>
      </c>
    </row>
    <row r="91" spans="1:112" x14ac:dyDescent="0.2">
      <c r="A91" s="5" t="str">
        <f>A90</f>
        <v>KS</v>
      </c>
      <c r="B91" s="5" t="s">
        <v>41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>
        <v>20394262</v>
      </c>
      <c r="BH91" s="1">
        <v>16719631</v>
      </c>
      <c r="BI91" s="1">
        <v>10664697</v>
      </c>
      <c r="BJ91" s="1">
        <v>6134363</v>
      </c>
      <c r="BK91" s="1">
        <v>8623003</v>
      </c>
      <c r="BL91" s="1">
        <v>-1325416</v>
      </c>
      <c r="BM91" s="1">
        <v>11356950</v>
      </c>
      <c r="BN91" s="1">
        <v>5116351</v>
      </c>
      <c r="BO91" s="1">
        <v>5386126</v>
      </c>
      <c r="BP91" s="1">
        <v>3863958</v>
      </c>
      <c r="BQ91" s="1">
        <v>2617290</v>
      </c>
      <c r="BR91" s="1">
        <v>2587367</v>
      </c>
      <c r="BS91" s="1">
        <v>9573363</v>
      </c>
      <c r="BT91" s="1">
        <v>10434407</v>
      </c>
      <c r="BU91" s="1">
        <v>8461127</v>
      </c>
      <c r="BV91" s="1">
        <v>10228487</v>
      </c>
      <c r="BW91" s="1">
        <v>5953281</v>
      </c>
      <c r="BX91" s="1">
        <v>4921125</v>
      </c>
      <c r="BY91" s="1">
        <v>8993951</v>
      </c>
      <c r="BZ91" s="1">
        <v>7018575</v>
      </c>
      <c r="CA91" s="1">
        <v>7023411</v>
      </c>
      <c r="CB91" s="1">
        <v>4813466</v>
      </c>
      <c r="CC91" s="1">
        <v>3946642</v>
      </c>
      <c r="CD91" s="1">
        <v>3649530</v>
      </c>
      <c r="CE91" s="1">
        <v>15175205</v>
      </c>
      <c r="CF91" s="1">
        <v>7373844</v>
      </c>
      <c r="CG91" s="1">
        <v>8565310</v>
      </c>
      <c r="CH91" s="1">
        <v>5774998</v>
      </c>
      <c r="CI91" s="1">
        <v>11273971</v>
      </c>
      <c r="CJ91" s="1">
        <v>10520596</v>
      </c>
      <c r="CK91" s="1">
        <v>6689918</v>
      </c>
      <c r="CL91" s="1">
        <v>6723973</v>
      </c>
      <c r="CM91" s="1">
        <v>3513381</v>
      </c>
      <c r="CN91" s="1">
        <v>3982818</v>
      </c>
      <c r="CO91" s="1">
        <v>2155427</v>
      </c>
      <c r="CP91" s="1">
        <v>6191469</v>
      </c>
      <c r="CQ91" s="1">
        <v>15306167</v>
      </c>
      <c r="CR91" s="1">
        <v>11851432</v>
      </c>
      <c r="CS91" s="1">
        <v>8786257</v>
      </c>
      <c r="CT91" s="1">
        <v>8418760</v>
      </c>
      <c r="CU91" s="1">
        <v>7662528</v>
      </c>
      <c r="CV91" s="1">
        <v>5121799</v>
      </c>
      <c r="CW91" s="1">
        <v>6383809</v>
      </c>
      <c r="CX91" s="1">
        <v>5658619</v>
      </c>
      <c r="CY91" s="1">
        <v>4936002</v>
      </c>
      <c r="CZ91" s="1">
        <v>5340489</v>
      </c>
      <c r="DA91" s="1">
        <v>4584906</v>
      </c>
      <c r="DB91" s="1">
        <v>3239754</v>
      </c>
      <c r="DC91" s="1">
        <v>8573697</v>
      </c>
      <c r="DD91" s="1">
        <v>0</v>
      </c>
      <c r="DE91" s="1">
        <v>0</v>
      </c>
      <c r="DF91" s="1">
        <v>0</v>
      </c>
      <c r="DH91" s="6">
        <f t="shared" si="33"/>
        <v>360961076</v>
      </c>
    </row>
    <row r="92" spans="1:112" x14ac:dyDescent="0.2">
      <c r="A92" s="5" t="s">
        <v>17</v>
      </c>
      <c r="B92" s="5" t="s">
        <v>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>
        <v>45519527</v>
      </c>
      <c r="BT92" s="1">
        <v>295088669</v>
      </c>
      <c r="BU92" s="1">
        <v>281189726</v>
      </c>
      <c r="BV92" s="1">
        <v>263666577</v>
      </c>
      <c r="BW92" s="1">
        <v>245604391</v>
      </c>
      <c r="BX92" s="1">
        <v>199449413</v>
      </c>
      <c r="BY92" s="1">
        <v>256246090</v>
      </c>
      <c r="BZ92" s="1">
        <v>187913250</v>
      </c>
      <c r="CA92" s="1">
        <v>181351571</v>
      </c>
      <c r="CB92" s="1">
        <v>150313713</v>
      </c>
      <c r="CC92" s="1">
        <v>129119324</v>
      </c>
      <c r="CD92" s="1">
        <v>151409522</v>
      </c>
      <c r="CE92" s="1">
        <v>255863415</v>
      </c>
      <c r="CF92" s="1">
        <v>274928953</v>
      </c>
      <c r="CG92" s="1">
        <v>301740758</v>
      </c>
      <c r="CH92" s="1">
        <v>293022540</v>
      </c>
      <c r="CI92" s="1">
        <v>277120574</v>
      </c>
      <c r="CJ92" s="1">
        <v>224733399</v>
      </c>
      <c r="CK92" s="1">
        <v>293176264</v>
      </c>
      <c r="CL92" s="1">
        <v>219760439</v>
      </c>
      <c r="CM92" s="1">
        <v>209561145</v>
      </c>
      <c r="CN92" s="1">
        <v>174823575</v>
      </c>
      <c r="CO92" s="1">
        <v>161423832</v>
      </c>
      <c r="CP92" s="1">
        <v>193089076</v>
      </c>
      <c r="CQ92" s="1">
        <v>295744630</v>
      </c>
      <c r="CR92" s="1">
        <v>340026377</v>
      </c>
      <c r="CS92" s="1">
        <v>333593944</v>
      </c>
      <c r="CT92" s="1">
        <v>282920566</v>
      </c>
      <c r="CU92" s="1">
        <v>295364418</v>
      </c>
      <c r="CV92" s="1">
        <v>247188232</v>
      </c>
      <c r="CW92" s="1">
        <v>300656065</v>
      </c>
      <c r="CX92" s="1">
        <v>230061384</v>
      </c>
      <c r="CY92" s="1">
        <v>240541177</v>
      </c>
      <c r="CZ92" s="1">
        <v>222695865</v>
      </c>
      <c r="DA92" s="1">
        <v>216526957</v>
      </c>
      <c r="DB92" s="1">
        <v>206296990</v>
      </c>
      <c r="DC92" s="1">
        <v>0</v>
      </c>
      <c r="DD92" s="1">
        <v>0</v>
      </c>
      <c r="DE92" s="1">
        <v>0</v>
      </c>
      <c r="DF92" s="1">
        <v>0</v>
      </c>
      <c r="DH92" s="6">
        <f t="shared" si="33"/>
        <v>8477732348</v>
      </c>
    </row>
    <row r="93" spans="1:112" x14ac:dyDescent="0.2">
      <c r="A93" s="5" t="s">
        <v>17</v>
      </c>
      <c r="B93" s="5" t="s">
        <v>42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>
        <v>36466699</v>
      </c>
      <c r="BT93" s="1">
        <v>286939580</v>
      </c>
      <c r="BU93" s="1">
        <v>271380477</v>
      </c>
      <c r="BV93" s="1">
        <v>254904794</v>
      </c>
      <c r="BW93" s="1">
        <v>236920260</v>
      </c>
      <c r="BX93" s="1">
        <v>191513289</v>
      </c>
      <c r="BY93" s="1">
        <v>246524948</v>
      </c>
      <c r="BZ93" s="1">
        <v>181483856</v>
      </c>
      <c r="CA93" s="1">
        <v>175546757</v>
      </c>
      <c r="CB93" s="1">
        <v>145710749</v>
      </c>
      <c r="CC93" s="1">
        <v>125385301</v>
      </c>
      <c r="CD93" s="1">
        <v>147034060</v>
      </c>
      <c r="CE93" s="1">
        <v>246571111</v>
      </c>
      <c r="CF93" s="1">
        <v>265130558</v>
      </c>
      <c r="CG93" s="1">
        <v>290702678</v>
      </c>
      <c r="CH93" s="1">
        <v>285476298</v>
      </c>
      <c r="CI93" s="1">
        <v>270994797</v>
      </c>
      <c r="CJ93" s="1">
        <v>218983652</v>
      </c>
      <c r="CK93" s="1">
        <v>284916145</v>
      </c>
      <c r="CL93" s="1">
        <v>214381841</v>
      </c>
      <c r="CM93" s="1">
        <v>205007688</v>
      </c>
      <c r="CN93" s="1">
        <v>171424965</v>
      </c>
      <c r="CO93" s="1">
        <v>158444554</v>
      </c>
      <c r="CP93" s="1">
        <v>187547183</v>
      </c>
      <c r="CQ93" s="1">
        <v>287594263</v>
      </c>
      <c r="CR93" s="1">
        <v>329580317</v>
      </c>
      <c r="CS93" s="1">
        <v>324440593</v>
      </c>
      <c r="CT93" s="1">
        <v>276649341</v>
      </c>
      <c r="CU93" s="1">
        <v>289253523</v>
      </c>
      <c r="CV93" s="1">
        <v>242223182</v>
      </c>
      <c r="CW93" s="1">
        <v>294451776</v>
      </c>
      <c r="CX93" s="1">
        <v>226026049</v>
      </c>
      <c r="CY93" s="1">
        <v>237159877</v>
      </c>
      <c r="CZ93" s="1">
        <v>219305572</v>
      </c>
      <c r="DA93" s="1">
        <v>213499659</v>
      </c>
      <c r="DB93" s="1">
        <v>203019470</v>
      </c>
      <c r="DC93" s="1">
        <v>0</v>
      </c>
      <c r="DD93" s="1">
        <v>0</v>
      </c>
      <c r="DE93" s="1">
        <v>0</v>
      </c>
      <c r="DF93" s="1">
        <v>0</v>
      </c>
      <c r="DH93" s="6">
        <f t="shared" si="33"/>
        <v>8242595862</v>
      </c>
    </row>
    <row r="94" spans="1:112" x14ac:dyDescent="0.2">
      <c r="A94" s="5" t="s">
        <v>17</v>
      </c>
      <c r="B94" s="5" t="s">
        <v>43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>
        <f>BS92-BS93</f>
        <v>9052828</v>
      </c>
      <c r="BT94" s="1">
        <f t="shared" ref="BT94:CC94" si="49">BT92-BT93</f>
        <v>8149089</v>
      </c>
      <c r="BU94" s="1">
        <f t="shared" si="49"/>
        <v>9809249</v>
      </c>
      <c r="BV94" s="1">
        <f t="shared" si="49"/>
        <v>8761783</v>
      </c>
      <c r="BW94" s="1">
        <f t="shared" si="49"/>
        <v>8684131</v>
      </c>
      <c r="BX94" s="1">
        <f t="shared" si="49"/>
        <v>7936124</v>
      </c>
      <c r="BY94" s="1">
        <f t="shared" si="49"/>
        <v>9721142</v>
      </c>
      <c r="BZ94" s="1">
        <f t="shared" si="49"/>
        <v>6429394</v>
      </c>
      <c r="CA94" s="1">
        <f t="shared" si="49"/>
        <v>5804814</v>
      </c>
      <c r="CB94" s="1">
        <f t="shared" si="49"/>
        <v>4602964</v>
      </c>
      <c r="CC94" s="1">
        <f t="shared" si="49"/>
        <v>3734023</v>
      </c>
      <c r="CD94" s="1">
        <f>CD92-CD93</f>
        <v>4375462</v>
      </c>
      <c r="CE94" s="1">
        <f>CE92-CE93</f>
        <v>9292304</v>
      </c>
      <c r="CF94" s="1">
        <f>CF92-CF93</f>
        <v>9798395</v>
      </c>
      <c r="CG94" s="1">
        <f>CG92-CG93</f>
        <v>11038080</v>
      </c>
      <c r="CH94" s="1">
        <f>CH92-CH93</f>
        <v>7546242</v>
      </c>
      <c r="CI94" s="1">
        <f t="shared" ref="CI94:DF94" si="50">CI92-CI93</f>
        <v>6125777</v>
      </c>
      <c r="CJ94" s="1">
        <f t="shared" si="50"/>
        <v>5749747</v>
      </c>
      <c r="CK94" s="1">
        <f t="shared" si="50"/>
        <v>8260119</v>
      </c>
      <c r="CL94" s="1">
        <f t="shared" si="50"/>
        <v>5378598</v>
      </c>
      <c r="CM94" s="1">
        <f t="shared" si="50"/>
        <v>4553457</v>
      </c>
      <c r="CN94" s="1">
        <f t="shared" si="50"/>
        <v>3398610</v>
      </c>
      <c r="CO94" s="1">
        <f t="shared" si="50"/>
        <v>2979278</v>
      </c>
      <c r="CP94" s="1">
        <f t="shared" si="50"/>
        <v>5541893</v>
      </c>
      <c r="CQ94" s="1">
        <f t="shared" si="50"/>
        <v>8150367</v>
      </c>
      <c r="CR94" s="1">
        <f t="shared" si="50"/>
        <v>10446060</v>
      </c>
      <c r="CS94" s="1">
        <f t="shared" si="50"/>
        <v>9153351</v>
      </c>
      <c r="CT94" s="1">
        <f t="shared" si="50"/>
        <v>6271225</v>
      </c>
      <c r="CU94" s="1">
        <f t="shared" si="50"/>
        <v>6110895</v>
      </c>
      <c r="CV94" s="1">
        <f t="shared" si="50"/>
        <v>4965050</v>
      </c>
      <c r="CW94" s="1">
        <f t="shared" si="50"/>
        <v>6204289</v>
      </c>
      <c r="CX94" s="1">
        <f t="shared" si="50"/>
        <v>4035335</v>
      </c>
      <c r="CY94" s="1">
        <f t="shared" si="50"/>
        <v>3381300</v>
      </c>
      <c r="CZ94" s="1">
        <f t="shared" si="50"/>
        <v>3390293</v>
      </c>
      <c r="DA94" s="1">
        <f t="shared" si="50"/>
        <v>3027298</v>
      </c>
      <c r="DB94" s="1">
        <f t="shared" si="50"/>
        <v>3277520</v>
      </c>
      <c r="DC94" s="1">
        <f t="shared" si="50"/>
        <v>0</v>
      </c>
      <c r="DD94" s="1">
        <f t="shared" si="50"/>
        <v>0</v>
      </c>
      <c r="DE94" s="1">
        <f t="shared" si="50"/>
        <v>0</v>
      </c>
      <c r="DF94" s="1">
        <f t="shared" si="50"/>
        <v>0</v>
      </c>
      <c r="DH94" s="6">
        <f t="shared" si="33"/>
        <v>235136486</v>
      </c>
    </row>
    <row r="95" spans="1:112" x14ac:dyDescent="0.2">
      <c r="A95" s="5" t="s">
        <v>17</v>
      </c>
      <c r="B95" s="5" t="s">
        <v>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>
        <v>2672334</v>
      </c>
      <c r="BT95" s="1">
        <v>54341932</v>
      </c>
      <c r="BU95" s="1">
        <v>22448054</v>
      </c>
      <c r="BV95" s="1">
        <v>32281925</v>
      </c>
      <c r="BW95" s="1">
        <v>35967753</v>
      </c>
      <c r="BX95" s="1">
        <v>19491638</v>
      </c>
      <c r="BY95" s="1">
        <v>22117012</v>
      </c>
      <c r="BZ95" s="1">
        <v>23299906</v>
      </c>
      <c r="CA95" s="1">
        <v>21603056</v>
      </c>
      <c r="CB95" s="1">
        <v>15771953</v>
      </c>
      <c r="CC95" s="1">
        <v>15419030</v>
      </c>
      <c r="CD95" s="1">
        <v>12143929</v>
      </c>
      <c r="CE95" s="1">
        <v>34241493</v>
      </c>
      <c r="CF95" s="1">
        <v>21140572</v>
      </c>
      <c r="CG95" s="1">
        <v>36629990</v>
      </c>
      <c r="CH95" s="1">
        <v>20245506</v>
      </c>
      <c r="CI95" s="1">
        <v>33638951</v>
      </c>
      <c r="CJ95" s="1">
        <v>29873955</v>
      </c>
      <c r="CK95" s="1">
        <v>20161752</v>
      </c>
      <c r="CL95" s="1">
        <v>24242434</v>
      </c>
      <c r="CM95" s="1">
        <v>26211737</v>
      </c>
      <c r="CN95" s="1">
        <v>23024927</v>
      </c>
      <c r="CO95" s="1">
        <v>17685240</v>
      </c>
      <c r="CP95" s="1">
        <v>22579550</v>
      </c>
      <c r="CQ95" s="1">
        <v>26408592</v>
      </c>
      <c r="CR95" s="1">
        <v>28117363</v>
      </c>
      <c r="CS95" s="1">
        <v>46663232</v>
      </c>
      <c r="CT95" s="1">
        <v>38789030</v>
      </c>
      <c r="CU95" s="1">
        <v>31367633</v>
      </c>
      <c r="CV95" s="1">
        <v>25405928</v>
      </c>
      <c r="CW95" s="1">
        <v>28909720</v>
      </c>
      <c r="CX95" s="1">
        <v>27187385</v>
      </c>
      <c r="CY95" s="1">
        <v>26499054</v>
      </c>
      <c r="CZ95" s="1">
        <v>20216778</v>
      </c>
      <c r="DA95" s="1">
        <v>22914566</v>
      </c>
      <c r="DB95" s="1">
        <v>18017712</v>
      </c>
      <c r="DC95" s="1">
        <v>0</v>
      </c>
      <c r="DD95" s="1">
        <v>0</v>
      </c>
      <c r="DE95" s="1">
        <v>0</v>
      </c>
      <c r="DF95" s="1">
        <v>0</v>
      </c>
      <c r="DH95" s="6">
        <f t="shared" si="33"/>
        <v>927731622</v>
      </c>
    </row>
    <row r="96" spans="1:112" x14ac:dyDescent="0.2">
      <c r="A96" s="5" t="s">
        <v>17</v>
      </c>
      <c r="B96" s="5" t="s">
        <v>44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>
        <v>1560431</v>
      </c>
      <c r="BT96" s="1">
        <v>53265858</v>
      </c>
      <c r="BU96" s="1">
        <v>21787038</v>
      </c>
      <c r="BV96" s="1">
        <v>31486575</v>
      </c>
      <c r="BW96" s="1">
        <v>34841385</v>
      </c>
      <c r="BX96" s="1">
        <v>19189800</v>
      </c>
      <c r="BY96" s="1">
        <v>21560358</v>
      </c>
      <c r="BZ96" s="1">
        <v>22827380</v>
      </c>
      <c r="CA96" s="1">
        <v>20952597</v>
      </c>
      <c r="CB96" s="1">
        <v>15254007</v>
      </c>
      <c r="CC96" s="1">
        <v>14994862</v>
      </c>
      <c r="CD96" s="1">
        <v>11867263</v>
      </c>
      <c r="CE96" s="1">
        <v>33120609</v>
      </c>
      <c r="CF96" s="1">
        <v>21218707</v>
      </c>
      <c r="CG96" s="1">
        <v>35945157</v>
      </c>
      <c r="CH96" s="1">
        <v>20297310</v>
      </c>
      <c r="CI96" s="1">
        <v>32927599</v>
      </c>
      <c r="CJ96" s="1">
        <v>29402045</v>
      </c>
      <c r="CK96" s="1">
        <v>19557952</v>
      </c>
      <c r="CL96" s="1">
        <v>23705437</v>
      </c>
      <c r="CM96" s="1">
        <v>25622840</v>
      </c>
      <c r="CN96" s="1">
        <v>22702306</v>
      </c>
      <c r="CO96" s="1">
        <v>17362748</v>
      </c>
      <c r="CP96" s="1">
        <v>21821930</v>
      </c>
      <c r="CQ96" s="1">
        <v>25890218</v>
      </c>
      <c r="CR96" s="1">
        <v>27339232</v>
      </c>
      <c r="CS96" s="1">
        <v>45599312</v>
      </c>
      <c r="CT96" s="1">
        <v>37659550</v>
      </c>
      <c r="CU96" s="1">
        <v>30718000</v>
      </c>
      <c r="CV96" s="1">
        <v>24958009</v>
      </c>
      <c r="CW96" s="1">
        <v>28196523</v>
      </c>
      <c r="CX96" s="1">
        <v>26457280</v>
      </c>
      <c r="CY96" s="1">
        <v>26126333</v>
      </c>
      <c r="CZ96" s="1">
        <v>19661647</v>
      </c>
      <c r="DA96" s="1">
        <v>22599915</v>
      </c>
      <c r="DB96" s="1">
        <v>17584163</v>
      </c>
      <c r="DC96" s="1">
        <v>0</v>
      </c>
      <c r="DD96" s="1">
        <v>0</v>
      </c>
      <c r="DE96" s="1">
        <v>0</v>
      </c>
      <c r="DF96" s="1">
        <v>0</v>
      </c>
      <c r="DH96" s="6">
        <f t="shared" si="33"/>
        <v>906062376</v>
      </c>
    </row>
    <row r="97" spans="1:112" x14ac:dyDescent="0.2">
      <c r="A97" s="5" t="s">
        <v>17</v>
      </c>
      <c r="B97" s="5" t="s">
        <v>45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>
        <f>BS95-BS96</f>
        <v>1111903</v>
      </c>
      <c r="BT97" s="1">
        <f t="shared" ref="BT97:CC97" si="51">BT95-BT96</f>
        <v>1076074</v>
      </c>
      <c r="BU97" s="1">
        <f t="shared" si="51"/>
        <v>661016</v>
      </c>
      <c r="BV97" s="1">
        <f t="shared" si="51"/>
        <v>795350</v>
      </c>
      <c r="BW97" s="1">
        <f t="shared" si="51"/>
        <v>1126368</v>
      </c>
      <c r="BX97" s="1">
        <f t="shared" si="51"/>
        <v>301838</v>
      </c>
      <c r="BY97" s="1">
        <f t="shared" si="51"/>
        <v>556654</v>
      </c>
      <c r="BZ97" s="1">
        <f t="shared" si="51"/>
        <v>472526</v>
      </c>
      <c r="CA97" s="1">
        <f t="shared" si="51"/>
        <v>650459</v>
      </c>
      <c r="CB97" s="1">
        <f t="shared" si="51"/>
        <v>517946</v>
      </c>
      <c r="CC97" s="1">
        <f t="shared" si="51"/>
        <v>424168</v>
      </c>
      <c r="CD97" s="1">
        <f>CD95-CD96</f>
        <v>276666</v>
      </c>
      <c r="CE97" s="1">
        <f>CE95-CE96</f>
        <v>1120884</v>
      </c>
      <c r="CF97" s="1">
        <f>CF95-CF96</f>
        <v>-78135</v>
      </c>
      <c r="CG97" s="1">
        <f>CG95-CG96</f>
        <v>684833</v>
      </c>
      <c r="CH97" s="1">
        <f>CH95-CH96</f>
        <v>-51804</v>
      </c>
      <c r="CI97" s="1">
        <f t="shared" ref="CI97:DF97" si="52">CI95-CI96</f>
        <v>711352</v>
      </c>
      <c r="CJ97" s="1">
        <f t="shared" si="52"/>
        <v>471910</v>
      </c>
      <c r="CK97" s="1">
        <f t="shared" si="52"/>
        <v>603800</v>
      </c>
      <c r="CL97" s="1">
        <f t="shared" si="52"/>
        <v>536997</v>
      </c>
      <c r="CM97" s="1">
        <f t="shared" si="52"/>
        <v>588897</v>
      </c>
      <c r="CN97" s="1">
        <f t="shared" si="52"/>
        <v>322621</v>
      </c>
      <c r="CO97" s="1">
        <f t="shared" si="52"/>
        <v>322492</v>
      </c>
      <c r="CP97" s="1">
        <f t="shared" si="52"/>
        <v>757620</v>
      </c>
      <c r="CQ97" s="1">
        <f t="shared" si="52"/>
        <v>518374</v>
      </c>
      <c r="CR97" s="1">
        <f t="shared" si="52"/>
        <v>778131</v>
      </c>
      <c r="CS97" s="1">
        <f t="shared" si="52"/>
        <v>1063920</v>
      </c>
      <c r="CT97" s="1">
        <f t="shared" si="52"/>
        <v>1129480</v>
      </c>
      <c r="CU97" s="1">
        <f t="shared" si="52"/>
        <v>649633</v>
      </c>
      <c r="CV97" s="1">
        <f t="shared" si="52"/>
        <v>447919</v>
      </c>
      <c r="CW97" s="1">
        <f t="shared" si="52"/>
        <v>713197</v>
      </c>
      <c r="CX97" s="1">
        <f t="shared" si="52"/>
        <v>730105</v>
      </c>
      <c r="CY97" s="1">
        <f t="shared" si="52"/>
        <v>372721</v>
      </c>
      <c r="CZ97" s="1">
        <f t="shared" si="52"/>
        <v>555131</v>
      </c>
      <c r="DA97" s="1">
        <f t="shared" si="52"/>
        <v>314651</v>
      </c>
      <c r="DB97" s="1">
        <f t="shared" si="52"/>
        <v>433549</v>
      </c>
      <c r="DC97" s="1">
        <f t="shared" si="52"/>
        <v>0</v>
      </c>
      <c r="DD97" s="1">
        <f t="shared" si="52"/>
        <v>0</v>
      </c>
      <c r="DE97" s="1">
        <f t="shared" si="52"/>
        <v>0</v>
      </c>
      <c r="DF97" s="1">
        <f t="shared" si="52"/>
        <v>0</v>
      </c>
      <c r="DH97" s="6">
        <f t="shared" si="33"/>
        <v>21669246</v>
      </c>
    </row>
    <row r="98" spans="1:112" x14ac:dyDescent="0.2">
      <c r="A98" s="5" t="s">
        <v>17</v>
      </c>
      <c r="B98" s="5" t="s">
        <v>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>
        <v>2595402</v>
      </c>
      <c r="BT98" s="1">
        <v>53786949</v>
      </c>
      <c r="BU98" s="1">
        <v>21794576</v>
      </c>
      <c r="BV98" s="1">
        <v>31647937</v>
      </c>
      <c r="BW98" s="1">
        <v>35384370</v>
      </c>
      <c r="BX98" s="1">
        <v>19014261</v>
      </c>
      <c r="BY98" s="1">
        <v>21492755</v>
      </c>
      <c r="BZ98" s="1">
        <v>22845691</v>
      </c>
      <c r="CA98" s="1">
        <v>21164005</v>
      </c>
      <c r="CB98" s="1">
        <v>15407161</v>
      </c>
      <c r="CC98" s="1">
        <v>15104226</v>
      </c>
      <c r="CD98" s="1">
        <v>11775462</v>
      </c>
      <c r="CE98" s="1">
        <v>33640907</v>
      </c>
      <c r="CF98" s="1">
        <v>20482114</v>
      </c>
      <c r="CG98" s="1">
        <v>35898503</v>
      </c>
      <c r="CH98" s="1">
        <v>19533128</v>
      </c>
      <c r="CI98" s="1">
        <v>32975042</v>
      </c>
      <c r="CJ98" s="1">
        <v>29335475</v>
      </c>
      <c r="CK98" s="1">
        <v>19450968</v>
      </c>
      <c r="CL98" s="1">
        <v>23711149</v>
      </c>
      <c r="CM98" s="1">
        <v>25703060</v>
      </c>
      <c r="CN98" s="1">
        <v>22600854</v>
      </c>
      <c r="CO98" s="1">
        <v>17291097</v>
      </c>
      <c r="CP98" s="1">
        <v>22111665</v>
      </c>
      <c r="CQ98" s="1">
        <v>25707596</v>
      </c>
      <c r="CR98" s="1">
        <v>27296639</v>
      </c>
      <c r="CS98" s="1">
        <v>45855357</v>
      </c>
      <c r="CT98" s="1">
        <v>38098144</v>
      </c>
      <c r="CU98" s="1">
        <v>30651809</v>
      </c>
      <c r="CV98" s="1">
        <v>24804270</v>
      </c>
      <c r="CW98" s="1">
        <v>28162231</v>
      </c>
      <c r="CX98" s="1">
        <v>26630023</v>
      </c>
      <c r="CY98" s="1">
        <v>25914690</v>
      </c>
      <c r="CZ98" s="1">
        <v>19676476</v>
      </c>
      <c r="DA98" s="1">
        <v>22387337</v>
      </c>
      <c r="DB98" s="1">
        <v>17513112</v>
      </c>
      <c r="DC98" s="1">
        <v>0</v>
      </c>
      <c r="DD98" s="1">
        <v>0</v>
      </c>
      <c r="DE98" s="1">
        <v>0</v>
      </c>
      <c r="DF98" s="1">
        <v>0</v>
      </c>
      <c r="DH98" s="6">
        <f t="shared" si="33"/>
        <v>907444441</v>
      </c>
    </row>
    <row r="99" spans="1:112" x14ac:dyDescent="0.2">
      <c r="A99" s="5" t="s">
        <v>17</v>
      </c>
      <c r="B99" s="5" t="s">
        <v>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>
        <v>321966</v>
      </c>
      <c r="BT99" s="1">
        <v>7616623</v>
      </c>
      <c r="BU99" s="1">
        <v>3088164</v>
      </c>
      <c r="BV99" s="1">
        <v>4463311</v>
      </c>
      <c r="BW99" s="1">
        <v>4992513</v>
      </c>
      <c r="BX99" s="1">
        <v>2703511</v>
      </c>
      <c r="BY99" s="1">
        <v>3036739</v>
      </c>
      <c r="BZ99" s="1">
        <v>3232443</v>
      </c>
      <c r="CA99" s="1">
        <v>2985052</v>
      </c>
      <c r="CB99" s="1">
        <v>2172705</v>
      </c>
      <c r="CC99" s="1">
        <v>2133689</v>
      </c>
      <c r="CD99" s="1">
        <v>1666271</v>
      </c>
      <c r="CE99" s="1">
        <v>4747316</v>
      </c>
      <c r="CF99" s="1">
        <v>2988346</v>
      </c>
      <c r="CG99" s="1">
        <v>5046385</v>
      </c>
      <c r="CH99" s="1">
        <v>2916545</v>
      </c>
      <c r="CI99" s="1">
        <v>4683071</v>
      </c>
      <c r="CJ99" s="1">
        <v>4152286</v>
      </c>
      <c r="CK99" s="1">
        <v>2740108</v>
      </c>
      <c r="CL99" s="1">
        <v>3360317</v>
      </c>
      <c r="CM99" s="1">
        <v>3524902</v>
      </c>
      <c r="CN99" s="1">
        <v>3197133</v>
      </c>
      <c r="CO99" s="1">
        <v>2438301</v>
      </c>
      <c r="CP99" s="1">
        <v>3106417</v>
      </c>
      <c r="CQ99" s="1">
        <v>3684795</v>
      </c>
      <c r="CR99" s="1">
        <v>3820548</v>
      </c>
      <c r="CS99" s="1">
        <v>6465161</v>
      </c>
      <c r="CT99" s="1">
        <v>5309435</v>
      </c>
      <c r="CU99" s="1">
        <v>4344368</v>
      </c>
      <c r="CV99" s="1">
        <v>3518941</v>
      </c>
      <c r="CW99" s="1">
        <v>3978416</v>
      </c>
      <c r="CX99" s="1">
        <v>3753881</v>
      </c>
      <c r="CY99" s="1">
        <v>3668245</v>
      </c>
      <c r="CZ99" s="1">
        <v>2781977</v>
      </c>
      <c r="DA99" s="1">
        <v>3178444</v>
      </c>
      <c r="DB99" s="1">
        <v>2465079</v>
      </c>
      <c r="DC99" s="1">
        <v>0</v>
      </c>
      <c r="DD99" s="1">
        <v>0</v>
      </c>
      <c r="DE99" s="1">
        <v>0</v>
      </c>
      <c r="DF99" s="1">
        <v>0</v>
      </c>
      <c r="DH99" s="6">
        <f t="shared" si="33"/>
        <v>128283404</v>
      </c>
    </row>
    <row r="100" spans="1:112" x14ac:dyDescent="0.2">
      <c r="A100" s="5" t="str">
        <f>A99</f>
        <v>KY</v>
      </c>
      <c r="B100" s="5" t="s">
        <v>41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H100" s="6">
        <f t="shared" si="33"/>
        <v>0</v>
      </c>
    </row>
    <row r="101" spans="1:112" x14ac:dyDescent="0.2">
      <c r="A101" s="5" t="s">
        <v>18</v>
      </c>
      <c r="B101" s="5" t="s">
        <v>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>
        <v>27871038</v>
      </c>
      <c r="AX101" s="1">
        <v>39517545</v>
      </c>
      <c r="AY101" s="1">
        <v>89757060</v>
      </c>
      <c r="AZ101" s="1">
        <v>238413596</v>
      </c>
      <c r="BA101" s="1">
        <v>232730341</v>
      </c>
      <c r="BB101" s="1">
        <v>208255060</v>
      </c>
      <c r="BC101" s="1">
        <v>171135819</v>
      </c>
      <c r="BD101" s="1">
        <v>132438215</v>
      </c>
      <c r="BE101" s="1">
        <v>118522225</v>
      </c>
      <c r="BF101" s="1">
        <v>128251857</v>
      </c>
      <c r="BG101" s="1">
        <v>203807226</v>
      </c>
      <c r="BH101" s="1">
        <v>255805485</v>
      </c>
      <c r="BI101" s="1">
        <v>268638967</v>
      </c>
      <c r="BJ101" s="1">
        <v>254753433</v>
      </c>
      <c r="BK101" s="1">
        <v>282269901</v>
      </c>
      <c r="BL101" s="1">
        <v>197709561</v>
      </c>
      <c r="BM101" s="1">
        <v>249280628</v>
      </c>
      <c r="BN101" s="1">
        <v>209746932</v>
      </c>
      <c r="BO101" s="1">
        <v>195123855</v>
      </c>
      <c r="BP101" s="1">
        <v>160083233</v>
      </c>
      <c r="BQ101" s="1">
        <v>134757491</v>
      </c>
      <c r="BR101" s="1">
        <v>153933704</v>
      </c>
      <c r="BS101" s="1">
        <v>280093549</v>
      </c>
      <c r="BT101" s="1">
        <v>308613008</v>
      </c>
      <c r="BU101" s="1">
        <v>356479622</v>
      </c>
      <c r="BV101" s="1">
        <v>377046556</v>
      </c>
      <c r="BW101" s="1">
        <v>346320907</v>
      </c>
      <c r="BX101" s="1">
        <v>274775955</v>
      </c>
      <c r="BY101" s="1">
        <v>350006557</v>
      </c>
      <c r="BZ101" s="1">
        <v>283059884</v>
      </c>
      <c r="CA101" s="1">
        <v>256659997</v>
      </c>
      <c r="CB101" s="1">
        <v>212056544</v>
      </c>
      <c r="CC101" s="1">
        <v>184543537.01999998</v>
      </c>
      <c r="CD101" s="1">
        <v>223584733.74000001</v>
      </c>
      <c r="CE101" s="1">
        <v>351690808.19999999</v>
      </c>
      <c r="CF101" s="1">
        <v>401847974.75000006</v>
      </c>
      <c r="CG101" s="1">
        <v>413465531.17000002</v>
      </c>
      <c r="CH101" s="1">
        <v>390727667</v>
      </c>
      <c r="CI101" s="1">
        <v>387967228</v>
      </c>
      <c r="CJ101" s="1">
        <v>381244368</v>
      </c>
      <c r="CK101" s="1">
        <v>386427937</v>
      </c>
      <c r="CL101" s="1">
        <v>343838482</v>
      </c>
      <c r="CM101" s="1">
        <v>300668112.07999998</v>
      </c>
      <c r="CN101" s="1">
        <v>245347399.08000001</v>
      </c>
      <c r="CO101" s="1">
        <v>226332909.68000001</v>
      </c>
      <c r="CP101" s="1">
        <v>271416105.24000007</v>
      </c>
      <c r="CQ101" s="1">
        <v>401505853.51999998</v>
      </c>
      <c r="CR101" s="1">
        <v>458837317.63</v>
      </c>
      <c r="CS101" s="1">
        <v>443482838.52000004</v>
      </c>
      <c r="CT101" s="1">
        <v>398006546.86999995</v>
      </c>
      <c r="CU101" s="1">
        <v>381683705.41000003</v>
      </c>
      <c r="CV101" s="1">
        <v>304951146.25</v>
      </c>
      <c r="CW101" s="1">
        <v>392515808.31999999</v>
      </c>
      <c r="CX101" s="1">
        <v>338029015.75</v>
      </c>
      <c r="CY101" s="1">
        <v>317974369.23000002</v>
      </c>
      <c r="CZ101" s="1">
        <v>306052728.56</v>
      </c>
      <c r="DA101" s="1">
        <v>279483467.5</v>
      </c>
      <c r="DB101" s="1">
        <v>272144214.58999997</v>
      </c>
      <c r="DC101" s="1">
        <v>405095625.63</v>
      </c>
      <c r="DD101" s="1">
        <v>0</v>
      </c>
      <c r="DE101" s="1">
        <v>0</v>
      </c>
      <c r="DF101" s="1">
        <v>0</v>
      </c>
      <c r="DH101" s="6">
        <f t="shared" si="33"/>
        <v>16206781181.74</v>
      </c>
    </row>
    <row r="102" spans="1:112" x14ac:dyDescent="0.2">
      <c r="A102" s="5" t="s">
        <v>18</v>
      </c>
      <c r="B102" s="5" t="s">
        <v>42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>
        <v>40459715</v>
      </c>
      <c r="AZ102" s="1">
        <v>211015085</v>
      </c>
      <c r="BA102" s="1">
        <v>205745956</v>
      </c>
      <c r="BB102" s="1">
        <v>186044928</v>
      </c>
      <c r="BC102" s="1">
        <v>142641507</v>
      </c>
      <c r="BD102" s="1">
        <v>113730731</v>
      </c>
      <c r="BE102" s="1">
        <v>103342337</v>
      </c>
      <c r="BF102" s="1">
        <v>112051469</v>
      </c>
      <c r="BG102" s="1">
        <v>172285335</v>
      </c>
      <c r="BH102" s="1">
        <v>219040606</v>
      </c>
      <c r="BI102" s="1">
        <v>233703879</v>
      </c>
      <c r="BJ102" s="1">
        <v>218701200</v>
      </c>
      <c r="BK102" s="1">
        <v>245235035</v>
      </c>
      <c r="BL102" s="1">
        <v>175738465</v>
      </c>
      <c r="BM102" s="1">
        <v>223120918</v>
      </c>
      <c r="BN102" s="1">
        <v>190075189</v>
      </c>
      <c r="BO102" s="1">
        <v>177834173</v>
      </c>
      <c r="BP102" s="1">
        <v>145716595</v>
      </c>
      <c r="BQ102" s="1">
        <v>122520979</v>
      </c>
      <c r="BR102" s="1">
        <v>138853445</v>
      </c>
      <c r="BS102" s="1">
        <v>248831422</v>
      </c>
      <c r="BT102" s="1">
        <v>276229708</v>
      </c>
      <c r="BU102" s="1">
        <v>322939359</v>
      </c>
      <c r="BV102" s="1">
        <v>344928425</v>
      </c>
      <c r="BW102" s="1">
        <v>317844144</v>
      </c>
      <c r="BX102" s="1">
        <v>253069041</v>
      </c>
      <c r="BY102" s="1">
        <v>319378658</v>
      </c>
      <c r="BZ102" s="1">
        <v>263246414</v>
      </c>
      <c r="CA102" s="1">
        <v>238268987</v>
      </c>
      <c r="CB102" s="1">
        <v>195824918</v>
      </c>
      <c r="CC102" s="1">
        <v>172237023.10999998</v>
      </c>
      <c r="CD102" s="1">
        <v>207275385.76000002</v>
      </c>
      <c r="CE102" s="1">
        <v>320030024.11000001</v>
      </c>
      <c r="CF102" s="1">
        <v>368253997.34000003</v>
      </c>
      <c r="CG102" s="1">
        <v>380829685.66000003</v>
      </c>
      <c r="CH102" s="1">
        <v>362311308</v>
      </c>
      <c r="CI102" s="1">
        <v>360078061</v>
      </c>
      <c r="CJ102" s="1">
        <v>355711472</v>
      </c>
      <c r="CK102" s="1">
        <v>361329555</v>
      </c>
      <c r="CL102" s="1">
        <v>326070615</v>
      </c>
      <c r="CM102" s="1">
        <v>284092998.27999997</v>
      </c>
      <c r="CN102" s="1">
        <v>231550534.62</v>
      </c>
      <c r="CO102" s="1">
        <v>213408817.68000001</v>
      </c>
      <c r="CP102" s="1">
        <v>251770106.1800001</v>
      </c>
      <c r="CQ102" s="1">
        <v>367719778.64999998</v>
      </c>
      <c r="CR102" s="1">
        <v>430838919.13999999</v>
      </c>
      <c r="CS102" s="1">
        <v>414649231.98000002</v>
      </c>
      <c r="CT102" s="1">
        <v>373352043.27999997</v>
      </c>
      <c r="CU102" s="1">
        <v>358845556</v>
      </c>
      <c r="CV102" s="1">
        <v>289398361.55000001</v>
      </c>
      <c r="CW102" s="1">
        <v>372517926.00999999</v>
      </c>
      <c r="CX102" s="1">
        <v>324485986.52999997</v>
      </c>
      <c r="CY102" s="1">
        <v>304217765.05000001</v>
      </c>
      <c r="CZ102" s="1">
        <v>294672428.98000002</v>
      </c>
      <c r="DA102" s="1">
        <v>269266659.55000001</v>
      </c>
      <c r="DB102" s="1">
        <v>260713718.81</v>
      </c>
      <c r="DC102" s="1">
        <v>384482737.88999999</v>
      </c>
      <c r="DD102" s="1">
        <v>0</v>
      </c>
      <c r="DE102" s="1">
        <v>0</v>
      </c>
      <c r="DF102" s="1">
        <v>0</v>
      </c>
      <c r="DH102" s="6">
        <f t="shared" si="33"/>
        <v>14798529320.159998</v>
      </c>
    </row>
    <row r="103" spans="1:112" x14ac:dyDescent="0.2">
      <c r="A103" s="5" t="s">
        <v>18</v>
      </c>
      <c r="B103" s="5" t="s">
        <v>43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>
        <f t="shared" ref="AW103:BN103" si="53">AW101-AW102</f>
        <v>27871038</v>
      </c>
      <c r="AX103" s="1">
        <f t="shared" si="53"/>
        <v>39517545</v>
      </c>
      <c r="AY103" s="1">
        <f t="shared" si="53"/>
        <v>49297345</v>
      </c>
      <c r="AZ103" s="1">
        <f t="shared" si="53"/>
        <v>27398511</v>
      </c>
      <c r="BA103" s="1">
        <f t="shared" si="53"/>
        <v>26984385</v>
      </c>
      <c r="BB103" s="1">
        <f t="shared" si="53"/>
        <v>22210132</v>
      </c>
      <c r="BC103" s="1">
        <f t="shared" si="53"/>
        <v>28494312</v>
      </c>
      <c r="BD103" s="1">
        <f t="shared" si="53"/>
        <v>18707484</v>
      </c>
      <c r="BE103" s="1">
        <f t="shared" si="53"/>
        <v>15179888</v>
      </c>
      <c r="BF103" s="1">
        <f t="shared" si="53"/>
        <v>16200388</v>
      </c>
      <c r="BG103" s="1">
        <f t="shared" si="53"/>
        <v>31521891</v>
      </c>
      <c r="BH103" s="1">
        <f t="shared" si="53"/>
        <v>36764879</v>
      </c>
      <c r="BI103" s="1">
        <f t="shared" si="53"/>
        <v>34935088</v>
      </c>
      <c r="BJ103" s="1">
        <f t="shared" si="53"/>
        <v>36052233</v>
      </c>
      <c r="BK103" s="1">
        <f t="shared" si="53"/>
        <v>37034866</v>
      </c>
      <c r="BL103" s="1">
        <f t="shared" si="53"/>
        <v>21971096</v>
      </c>
      <c r="BM103" s="1">
        <f t="shared" si="53"/>
        <v>26159710</v>
      </c>
      <c r="BN103" s="1">
        <f t="shared" si="53"/>
        <v>19671743</v>
      </c>
      <c r="BO103" s="1">
        <f>BO101-BO102</f>
        <v>17289682</v>
      </c>
      <c r="BP103" s="1">
        <f>BP101-BP102</f>
        <v>14366638</v>
      </c>
      <c r="BQ103" s="1">
        <f t="shared" ref="BQ103:CC103" si="54">BQ101-BQ102</f>
        <v>12236512</v>
      </c>
      <c r="BR103" s="1">
        <f t="shared" si="54"/>
        <v>15080259</v>
      </c>
      <c r="BS103" s="1">
        <f t="shared" si="54"/>
        <v>31262127</v>
      </c>
      <c r="BT103" s="1">
        <f t="shared" si="54"/>
        <v>32383300</v>
      </c>
      <c r="BU103" s="1">
        <f t="shared" si="54"/>
        <v>33540263</v>
      </c>
      <c r="BV103" s="1">
        <f t="shared" si="54"/>
        <v>32118131</v>
      </c>
      <c r="BW103" s="1">
        <f t="shared" si="54"/>
        <v>28476763</v>
      </c>
      <c r="BX103" s="1">
        <f t="shared" si="54"/>
        <v>21706914</v>
      </c>
      <c r="BY103" s="1">
        <f t="shared" si="54"/>
        <v>30627899</v>
      </c>
      <c r="BZ103" s="1">
        <f t="shared" si="54"/>
        <v>19813470</v>
      </c>
      <c r="CA103" s="1">
        <f t="shared" si="54"/>
        <v>18391010</v>
      </c>
      <c r="CB103" s="1">
        <f t="shared" si="54"/>
        <v>16231626</v>
      </c>
      <c r="CC103" s="1">
        <f t="shared" si="54"/>
        <v>12306513.909999996</v>
      </c>
      <c r="CD103" s="1">
        <f>CD101-CD102</f>
        <v>16309347.979999989</v>
      </c>
      <c r="CE103" s="1">
        <f>CE101-CE102</f>
        <v>31660784.089999974</v>
      </c>
      <c r="CF103" s="1">
        <f>CF101-CF102</f>
        <v>33593977.410000026</v>
      </c>
      <c r="CG103" s="1">
        <f>CG101-CG102</f>
        <v>32635845.50999999</v>
      </c>
      <c r="CH103" s="1">
        <f>CH101-CH102</f>
        <v>28416359</v>
      </c>
      <c r="CI103" s="1">
        <f t="shared" ref="CI103:DF103" si="55">CI101-CI102</f>
        <v>27889167</v>
      </c>
      <c r="CJ103" s="1">
        <f t="shared" si="55"/>
        <v>25532896</v>
      </c>
      <c r="CK103" s="1">
        <f t="shared" si="55"/>
        <v>25098382</v>
      </c>
      <c r="CL103" s="1">
        <f t="shared" si="55"/>
        <v>17767867</v>
      </c>
      <c r="CM103" s="1">
        <f t="shared" si="55"/>
        <v>16575113.800000012</v>
      </c>
      <c r="CN103" s="1">
        <f t="shared" si="55"/>
        <v>13796864.460000008</v>
      </c>
      <c r="CO103" s="1">
        <f t="shared" si="55"/>
        <v>12924092</v>
      </c>
      <c r="CP103" s="1">
        <f t="shared" si="55"/>
        <v>19645999.059999973</v>
      </c>
      <c r="CQ103" s="1">
        <f t="shared" si="55"/>
        <v>33786074.870000005</v>
      </c>
      <c r="CR103" s="1">
        <f t="shared" si="55"/>
        <v>27998398.49000001</v>
      </c>
      <c r="CS103" s="1">
        <f t="shared" si="55"/>
        <v>28833606.540000021</v>
      </c>
      <c r="CT103" s="1">
        <f t="shared" si="55"/>
        <v>24654503.589999974</v>
      </c>
      <c r="CU103" s="1">
        <f t="shared" si="55"/>
        <v>22838149.410000026</v>
      </c>
      <c r="CV103" s="1">
        <f t="shared" si="55"/>
        <v>15552784.699999988</v>
      </c>
      <c r="CW103" s="1">
        <f t="shared" si="55"/>
        <v>19997882.310000002</v>
      </c>
      <c r="CX103" s="1">
        <f t="shared" si="55"/>
        <v>13543029.220000029</v>
      </c>
      <c r="CY103" s="1">
        <f t="shared" si="55"/>
        <v>13756604.180000007</v>
      </c>
      <c r="CZ103" s="1">
        <f t="shared" si="55"/>
        <v>11380299.579999983</v>
      </c>
      <c r="DA103" s="1">
        <f t="shared" si="55"/>
        <v>10216807.949999988</v>
      </c>
      <c r="DB103" s="1">
        <f t="shared" si="55"/>
        <v>11430495.779999971</v>
      </c>
      <c r="DC103" s="1">
        <f t="shared" si="55"/>
        <v>20612887.74000001</v>
      </c>
      <c r="DD103" s="1">
        <f t="shared" si="55"/>
        <v>0</v>
      </c>
      <c r="DE103" s="1">
        <f t="shared" si="55"/>
        <v>0</v>
      </c>
      <c r="DF103" s="1">
        <f t="shared" si="55"/>
        <v>0</v>
      </c>
      <c r="DH103" s="6">
        <f t="shared" si="33"/>
        <v>1408251861.5800002</v>
      </c>
    </row>
    <row r="104" spans="1:112" x14ac:dyDescent="0.2">
      <c r="A104" s="5" t="s">
        <v>18</v>
      </c>
      <c r="B104" s="5" t="s">
        <v>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>
        <v>5685705.6000000015</v>
      </c>
      <c r="AX104" s="1">
        <v>4380700</v>
      </c>
      <c r="AY104" s="1">
        <v>7992540</v>
      </c>
      <c r="AZ104" s="1">
        <v>27316419</v>
      </c>
      <c r="BA104" s="1">
        <v>30943063</v>
      </c>
      <c r="BB104" s="1">
        <v>6140843</v>
      </c>
      <c r="BC104" s="1">
        <v>25691302</v>
      </c>
      <c r="BD104" s="1">
        <v>10891261</v>
      </c>
      <c r="BE104" s="1">
        <v>20980159</v>
      </c>
      <c r="BF104" s="1">
        <v>9587258</v>
      </c>
      <c r="BG104" s="1">
        <v>33390478</v>
      </c>
      <c r="BH104" s="1">
        <v>30776126</v>
      </c>
      <c r="BI104" s="1">
        <v>-25313281</v>
      </c>
      <c r="BJ104" s="1">
        <v>37296799</v>
      </c>
      <c r="BK104" s="1">
        <v>35728478</v>
      </c>
      <c r="BL104" s="1">
        <v>23295088</v>
      </c>
      <c r="BM104" s="1">
        <v>32319508</v>
      </c>
      <c r="BN104" s="1">
        <v>23415190</v>
      </c>
      <c r="BO104" s="1">
        <v>29860212</v>
      </c>
      <c r="BP104" s="1">
        <v>13621060</v>
      </c>
      <c r="BQ104" s="1">
        <v>18281422</v>
      </c>
      <c r="BR104" s="1">
        <v>18140209</v>
      </c>
      <c r="BS104" s="1">
        <v>43143474</v>
      </c>
      <c r="BT104" s="1">
        <v>43338752</v>
      </c>
      <c r="BU104" s="1">
        <v>29304005</v>
      </c>
      <c r="BV104" s="1">
        <v>56519631</v>
      </c>
      <c r="BW104" s="1">
        <v>52696465</v>
      </c>
      <c r="BX104" s="1">
        <v>29674834</v>
      </c>
      <c r="BY104" s="1">
        <v>35841683</v>
      </c>
      <c r="BZ104" s="1">
        <v>38111286</v>
      </c>
      <c r="CA104" s="1">
        <v>34711724</v>
      </c>
      <c r="CB104" s="1">
        <v>27221159</v>
      </c>
      <c r="CC104" s="1">
        <v>25188103.670000017</v>
      </c>
      <c r="CD104" s="1">
        <v>26600359.090000004</v>
      </c>
      <c r="CE104" s="1">
        <v>55656999.319999993</v>
      </c>
      <c r="CF104" s="1">
        <v>43257554.189999998</v>
      </c>
      <c r="CG104" s="1">
        <v>58435057.139999926</v>
      </c>
      <c r="CH104" s="1">
        <v>35204850</v>
      </c>
      <c r="CI104" s="1">
        <v>54600997</v>
      </c>
      <c r="CJ104" s="1">
        <v>53876140</v>
      </c>
      <c r="CK104" s="1">
        <v>31789765</v>
      </c>
      <c r="CL104" s="1">
        <v>40667102</v>
      </c>
      <c r="CM104" s="1">
        <v>47515425.449999988</v>
      </c>
      <c r="CN104" s="1">
        <v>33573476.969999999</v>
      </c>
      <c r="CO104" s="1">
        <v>32532366.5</v>
      </c>
      <c r="CP104" s="1">
        <v>34362210.310000122</v>
      </c>
      <c r="CQ104" s="1">
        <v>48396091.439999998</v>
      </c>
      <c r="CR104" s="1">
        <v>52836505.959999979</v>
      </c>
      <c r="CS104" s="1">
        <v>64230200.180000007</v>
      </c>
      <c r="CT104" s="1">
        <v>63028866.709999979</v>
      </c>
      <c r="CU104" s="1">
        <v>55750163.770000041</v>
      </c>
      <c r="CV104" s="1">
        <v>37445725.379999995</v>
      </c>
      <c r="CW104" s="1">
        <v>50537109.650000036</v>
      </c>
      <c r="CX104" s="1">
        <v>48581161.24000001</v>
      </c>
      <c r="CY104" s="1">
        <v>45945158.819999993</v>
      </c>
      <c r="CZ104" s="1">
        <v>36013768.379999995</v>
      </c>
      <c r="DA104" s="1">
        <v>35721432.199999988</v>
      </c>
      <c r="DB104" s="1">
        <v>33768398.079999983</v>
      </c>
      <c r="DC104" s="1">
        <v>44746528.650000036</v>
      </c>
      <c r="DD104" s="1">
        <v>0</v>
      </c>
      <c r="DE104" s="1">
        <v>0</v>
      </c>
      <c r="DF104" s="1">
        <v>0</v>
      </c>
      <c r="DH104" s="6">
        <f t="shared" si="33"/>
        <v>2001245069.7000005</v>
      </c>
    </row>
    <row r="105" spans="1:112" x14ac:dyDescent="0.2">
      <c r="A105" s="5" t="s">
        <v>18</v>
      </c>
      <c r="B105" s="5" t="s">
        <v>44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>
        <v>2659947</v>
      </c>
      <c r="AZ105" s="1">
        <v>26673756</v>
      </c>
      <c r="BA105" s="1">
        <v>29220523</v>
      </c>
      <c r="BB105" s="1">
        <v>3805886</v>
      </c>
      <c r="BC105" s="1">
        <v>22998691</v>
      </c>
      <c r="BD105" s="1">
        <v>10742017</v>
      </c>
      <c r="BE105" s="1">
        <v>19336910</v>
      </c>
      <c r="BF105" s="1">
        <v>7428583</v>
      </c>
      <c r="BG105" s="1">
        <v>28572399</v>
      </c>
      <c r="BH105" s="1">
        <v>26470551</v>
      </c>
      <c r="BI105" s="1">
        <v>-27303642</v>
      </c>
      <c r="BJ105" s="1">
        <v>30801347</v>
      </c>
      <c r="BK105" s="1">
        <v>29690209</v>
      </c>
      <c r="BL105" s="1">
        <v>21805455</v>
      </c>
      <c r="BM105" s="1">
        <v>28785101</v>
      </c>
      <c r="BN105" s="1">
        <v>21567268</v>
      </c>
      <c r="BO105" s="1">
        <v>26881742</v>
      </c>
      <c r="BP105" s="1">
        <v>12464447</v>
      </c>
      <c r="BQ105" s="1">
        <v>16383590</v>
      </c>
      <c r="BR105" s="1">
        <v>16170510</v>
      </c>
      <c r="BS105" s="1">
        <v>37407290</v>
      </c>
      <c r="BT105" s="1">
        <v>40083851</v>
      </c>
      <c r="BU105" s="1">
        <v>27950689</v>
      </c>
      <c r="BV105" s="1">
        <v>51963641</v>
      </c>
      <c r="BW105" s="1">
        <v>49455500</v>
      </c>
      <c r="BX105" s="1">
        <v>28880141</v>
      </c>
      <c r="BY105" s="1">
        <v>33683547</v>
      </c>
      <c r="BZ105" s="1">
        <v>36785828</v>
      </c>
      <c r="CA105" s="1">
        <v>32420315</v>
      </c>
      <c r="CB105" s="1">
        <v>25786856</v>
      </c>
      <c r="CC105" s="1">
        <v>23612677.899999999</v>
      </c>
      <c r="CD105" s="1">
        <v>23892212.780000001</v>
      </c>
      <c r="CE105" s="1">
        <v>50319360.680000007</v>
      </c>
      <c r="CF105" s="1">
        <v>42750721.159999996</v>
      </c>
      <c r="CG105" s="1">
        <v>54156623.219999999</v>
      </c>
      <c r="CH105" s="1">
        <v>35553837</v>
      </c>
      <c r="CI105" s="1">
        <v>51923231</v>
      </c>
      <c r="CJ105" s="1">
        <v>51298659</v>
      </c>
      <c r="CK105" s="1">
        <v>30409676</v>
      </c>
      <c r="CL105" s="1">
        <v>39474253</v>
      </c>
      <c r="CM105" s="1">
        <v>45118064.510000005</v>
      </c>
      <c r="CN105" s="1">
        <v>32259349.440000001</v>
      </c>
      <c r="CO105" s="1">
        <v>31323313.5</v>
      </c>
      <c r="CP105" s="1">
        <v>31013698.720000155</v>
      </c>
      <c r="CQ105" s="1">
        <v>45392366.82</v>
      </c>
      <c r="CR105" s="1">
        <v>49157188.890000001</v>
      </c>
      <c r="CS105" s="1">
        <v>61223030.560000002</v>
      </c>
      <c r="CT105" s="1">
        <v>59667443.710000001</v>
      </c>
      <c r="CU105" s="1">
        <v>52012737.43</v>
      </c>
      <c r="CV105" s="1">
        <v>36849495.82</v>
      </c>
      <c r="CW105" s="1">
        <v>48114772.869999997</v>
      </c>
      <c r="CX105" s="1">
        <v>45844177.699999996</v>
      </c>
      <c r="CY105" s="1">
        <v>44596519.460000001</v>
      </c>
      <c r="CZ105" s="1">
        <v>34826457.119999997</v>
      </c>
      <c r="DA105" s="1">
        <v>34402388.07</v>
      </c>
      <c r="DB105" s="1">
        <v>32020969.580000002</v>
      </c>
      <c r="DC105" s="1">
        <v>40858163.689999998</v>
      </c>
      <c r="DD105" s="1">
        <v>0</v>
      </c>
      <c r="DE105" s="1">
        <v>0</v>
      </c>
      <c r="DF105" s="1">
        <v>0</v>
      </c>
      <c r="DH105" s="6">
        <f t="shared" si="33"/>
        <v>1847644337.6299999</v>
      </c>
    </row>
    <row r="106" spans="1:112" x14ac:dyDescent="0.2">
      <c r="A106" s="5" t="s">
        <v>18</v>
      </c>
      <c r="B106" s="5" t="s">
        <v>45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>
        <f t="shared" ref="AW106:CC106" si="56">AW104-AW105</f>
        <v>5685705.6000000015</v>
      </c>
      <c r="AX106" s="1">
        <f t="shared" si="56"/>
        <v>4380700</v>
      </c>
      <c r="AY106" s="1">
        <f t="shared" si="56"/>
        <v>5332593</v>
      </c>
      <c r="AZ106" s="1">
        <f t="shared" si="56"/>
        <v>642663</v>
      </c>
      <c r="BA106" s="1">
        <f t="shared" si="56"/>
        <v>1722540</v>
      </c>
      <c r="BB106" s="1">
        <f t="shared" si="56"/>
        <v>2334957</v>
      </c>
      <c r="BC106" s="1">
        <f t="shared" si="56"/>
        <v>2692611</v>
      </c>
      <c r="BD106" s="1">
        <f t="shared" si="56"/>
        <v>149244</v>
      </c>
      <c r="BE106" s="1">
        <f t="shared" si="56"/>
        <v>1643249</v>
      </c>
      <c r="BF106" s="1">
        <f t="shared" si="56"/>
        <v>2158675</v>
      </c>
      <c r="BG106" s="1">
        <f t="shared" si="56"/>
        <v>4818079</v>
      </c>
      <c r="BH106" s="1">
        <f t="shared" si="56"/>
        <v>4305575</v>
      </c>
      <c r="BI106" s="1">
        <f t="shared" si="56"/>
        <v>1990361</v>
      </c>
      <c r="BJ106" s="1">
        <f t="shared" si="56"/>
        <v>6495452</v>
      </c>
      <c r="BK106" s="1">
        <f t="shared" si="56"/>
        <v>6038269</v>
      </c>
      <c r="BL106" s="1">
        <f t="shared" si="56"/>
        <v>1489633</v>
      </c>
      <c r="BM106" s="1">
        <f t="shared" si="56"/>
        <v>3534407</v>
      </c>
      <c r="BN106" s="1">
        <f t="shared" si="56"/>
        <v>1847922</v>
      </c>
      <c r="BO106" s="1">
        <f t="shared" si="56"/>
        <v>2978470</v>
      </c>
      <c r="BP106" s="1">
        <f t="shared" si="56"/>
        <v>1156613</v>
      </c>
      <c r="BQ106" s="1">
        <f t="shared" si="56"/>
        <v>1897832</v>
      </c>
      <c r="BR106" s="1">
        <f t="shared" si="56"/>
        <v>1969699</v>
      </c>
      <c r="BS106" s="1">
        <f t="shared" si="56"/>
        <v>5736184</v>
      </c>
      <c r="BT106" s="1">
        <f t="shared" si="56"/>
        <v>3254901</v>
      </c>
      <c r="BU106" s="1">
        <f t="shared" si="56"/>
        <v>1353316</v>
      </c>
      <c r="BV106" s="1">
        <f t="shared" si="56"/>
        <v>4555990</v>
      </c>
      <c r="BW106" s="1">
        <f t="shared" si="56"/>
        <v>3240965</v>
      </c>
      <c r="BX106" s="1">
        <f t="shared" si="56"/>
        <v>794693</v>
      </c>
      <c r="BY106" s="1">
        <f t="shared" si="56"/>
        <v>2158136</v>
      </c>
      <c r="BZ106" s="1">
        <f t="shared" si="56"/>
        <v>1325458</v>
      </c>
      <c r="CA106" s="1">
        <f t="shared" si="56"/>
        <v>2291409</v>
      </c>
      <c r="CB106" s="1">
        <f t="shared" si="56"/>
        <v>1434303</v>
      </c>
      <c r="CC106" s="1">
        <f t="shared" si="56"/>
        <v>1575425.7700000182</v>
      </c>
      <c r="CD106" s="1">
        <f>CD104-CD105</f>
        <v>2708146.3100000024</v>
      </c>
      <c r="CE106" s="1">
        <f>CE104-CE105</f>
        <v>5337638.6399999857</v>
      </c>
      <c r="CF106" s="1">
        <f>CF104-CF105</f>
        <v>506833.03000000119</v>
      </c>
      <c r="CG106" s="1">
        <f>CG104-CG105</f>
        <v>4278433.9199999273</v>
      </c>
      <c r="CH106" s="1">
        <f>CH104-CH105</f>
        <v>-348987</v>
      </c>
      <c r="CI106" s="1">
        <f t="shared" ref="CI106:DF106" si="57">CI104-CI105</f>
        <v>2677766</v>
      </c>
      <c r="CJ106" s="1">
        <f t="shared" si="57"/>
        <v>2577481</v>
      </c>
      <c r="CK106" s="1">
        <f t="shared" si="57"/>
        <v>1380089</v>
      </c>
      <c r="CL106" s="1">
        <f t="shared" si="57"/>
        <v>1192849</v>
      </c>
      <c r="CM106" s="1">
        <f t="shared" si="57"/>
        <v>2397360.9399999827</v>
      </c>
      <c r="CN106" s="1">
        <f t="shared" si="57"/>
        <v>1314127.5299999975</v>
      </c>
      <c r="CO106" s="1">
        <f t="shared" si="57"/>
        <v>1209053</v>
      </c>
      <c r="CP106" s="1">
        <f t="shared" si="57"/>
        <v>3348511.5899999663</v>
      </c>
      <c r="CQ106" s="1">
        <f t="shared" si="57"/>
        <v>3003724.6199999973</v>
      </c>
      <c r="CR106" s="1">
        <f t="shared" si="57"/>
        <v>3679317.0699999779</v>
      </c>
      <c r="CS106" s="1">
        <f t="shared" si="57"/>
        <v>3007169.6200000048</v>
      </c>
      <c r="CT106" s="1">
        <f t="shared" si="57"/>
        <v>3361422.9999999776</v>
      </c>
      <c r="CU106" s="1">
        <f t="shared" si="57"/>
        <v>3737426.3400000408</v>
      </c>
      <c r="CV106" s="1">
        <f t="shared" si="57"/>
        <v>596229.55999999493</v>
      </c>
      <c r="CW106" s="1">
        <f t="shared" si="57"/>
        <v>2422336.7800000384</v>
      </c>
      <c r="CX106" s="1">
        <f t="shared" si="57"/>
        <v>2736983.540000014</v>
      </c>
      <c r="CY106" s="1">
        <f t="shared" si="57"/>
        <v>1348639.359999992</v>
      </c>
      <c r="CZ106" s="1">
        <f t="shared" si="57"/>
        <v>1187311.2599999979</v>
      </c>
      <c r="DA106" s="1">
        <f t="shared" si="57"/>
        <v>1319044.1299999878</v>
      </c>
      <c r="DB106" s="1">
        <f t="shared" si="57"/>
        <v>1747428.4999999814</v>
      </c>
      <c r="DC106" s="1">
        <f t="shared" si="57"/>
        <v>3888364.9600000381</v>
      </c>
      <c r="DD106" s="1">
        <f t="shared" si="57"/>
        <v>0</v>
      </c>
      <c r="DE106" s="1">
        <f t="shared" si="57"/>
        <v>0</v>
      </c>
      <c r="DF106" s="1">
        <f t="shared" si="57"/>
        <v>0</v>
      </c>
      <c r="DH106" s="6">
        <f t="shared" si="33"/>
        <v>153600732.0699999</v>
      </c>
    </row>
    <row r="107" spans="1:112" x14ac:dyDescent="0.2">
      <c r="A107" s="5" t="s">
        <v>18</v>
      </c>
      <c r="B107" s="5" t="s">
        <v>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>
        <v>5685705.7999999989</v>
      </c>
      <c r="AX107" s="1">
        <v>4380700</v>
      </c>
      <c r="AY107" s="1">
        <v>5332590</v>
      </c>
      <c r="AZ107" s="1">
        <v>16610536.666666668</v>
      </c>
      <c r="BA107" s="1">
        <v>23516036.666666668</v>
      </c>
      <c r="BB107" s="1">
        <v>17833473.333333336</v>
      </c>
      <c r="BC107" s="1">
        <v>18442436.666666668</v>
      </c>
      <c r="BD107" s="1">
        <v>9718726.6666666679</v>
      </c>
      <c r="BE107" s="1">
        <v>16712696.666666668</v>
      </c>
      <c r="BF107" s="1">
        <v>12543646.666666668</v>
      </c>
      <c r="BG107" s="1">
        <v>28435423.333333336</v>
      </c>
      <c r="BH107" s="1">
        <v>30103646.666666668</v>
      </c>
      <c r="BI107" s="1">
        <v>29044310</v>
      </c>
      <c r="BJ107" s="1">
        <v>31155643.333333336</v>
      </c>
      <c r="BK107" s="1">
        <v>24215043.333333336</v>
      </c>
      <c r="BL107" s="1">
        <v>17662906.666666668</v>
      </c>
      <c r="BM107" s="1">
        <v>24966376.666666668</v>
      </c>
      <c r="BN107" s="1">
        <v>20287176.666666668</v>
      </c>
      <c r="BO107" s="1">
        <v>24835873.333333336</v>
      </c>
      <c r="BP107" s="1">
        <v>11756426.666666668</v>
      </c>
      <c r="BQ107" s="1">
        <v>15147513.333333334</v>
      </c>
      <c r="BR107" s="1">
        <v>14700536.666666668</v>
      </c>
      <c r="BS107" s="1">
        <v>37365540</v>
      </c>
      <c r="BT107" s="1">
        <v>36606183.333333336</v>
      </c>
      <c r="BU107" s="1">
        <v>22165110</v>
      </c>
      <c r="BV107" s="1">
        <v>51963000</v>
      </c>
      <c r="BW107" s="1">
        <v>39011336.666666672</v>
      </c>
      <c r="BX107" s="1">
        <v>25532320</v>
      </c>
      <c r="BY107" s="1">
        <v>33293273.333333336</v>
      </c>
      <c r="BZ107" s="1">
        <v>36310146.666666672</v>
      </c>
      <c r="CA107" s="1">
        <v>39267013.333333336</v>
      </c>
      <c r="CB107" s="1">
        <v>26053430</v>
      </c>
      <c r="CC107" s="1">
        <v>23922792.699999996</v>
      </c>
      <c r="CD107" s="1">
        <v>25128568.733333334</v>
      </c>
      <c r="CE107" s="1">
        <v>52716509.433333337</v>
      </c>
      <c r="CF107" s="1">
        <v>41949352.066666678</v>
      </c>
      <c r="CG107" s="1">
        <v>55689446.666666672</v>
      </c>
      <c r="CH107" s="1">
        <v>43122200</v>
      </c>
      <c r="CI107" s="1">
        <v>40967940</v>
      </c>
      <c r="CJ107" s="1">
        <v>48717190</v>
      </c>
      <c r="CK107" s="1">
        <v>28425516.666666668</v>
      </c>
      <c r="CL107" s="1">
        <v>39284006.666666672</v>
      </c>
      <c r="CM107" s="1">
        <v>45552555.100000001</v>
      </c>
      <c r="CN107" s="1">
        <v>32093450.933333337</v>
      </c>
      <c r="CO107" s="1">
        <v>31378788.200000003</v>
      </c>
      <c r="CP107" s="1">
        <v>33291814.270000156</v>
      </c>
      <c r="CQ107" s="1">
        <v>47201167.33488372</v>
      </c>
      <c r="CR107" s="1">
        <v>51437580.230232559</v>
      </c>
      <c r="CS107" s="1">
        <v>63328452.467441864</v>
      </c>
      <c r="CT107" s="1">
        <v>61446170.380000003</v>
      </c>
      <c r="CU107" s="1">
        <v>43676217.941860467</v>
      </c>
      <c r="CV107" s="1">
        <v>32416217.158139534</v>
      </c>
      <c r="CW107" s="1">
        <v>45121422.372093029</v>
      </c>
      <c r="CX107" s="1">
        <v>45493791.64418605</v>
      </c>
      <c r="CY107" s="1">
        <v>44809947.399302319</v>
      </c>
      <c r="CZ107" s="1">
        <v>34771083.881395347</v>
      </c>
      <c r="DA107" s="1">
        <v>34789688.913953491</v>
      </c>
      <c r="DB107" s="1">
        <v>32631418.716279075</v>
      </c>
      <c r="DC107" s="1">
        <v>43335147.637209296</v>
      </c>
      <c r="DD107" s="1">
        <v>0</v>
      </c>
      <c r="DE107" s="1">
        <v>0</v>
      </c>
      <c r="DF107" s="1">
        <v>0</v>
      </c>
      <c r="DH107" s="6">
        <f t="shared" si="33"/>
        <v>1873353216.6469769</v>
      </c>
    </row>
    <row r="108" spans="1:112" x14ac:dyDescent="0.2">
      <c r="A108" s="5" t="s">
        <v>18</v>
      </c>
      <c r="B108" s="5" t="s">
        <v>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>
        <v>568570.57999999996</v>
      </c>
      <c r="AX108" s="1">
        <v>438070</v>
      </c>
      <c r="AY108" s="1">
        <v>533259</v>
      </c>
      <c r="AZ108" s="1">
        <v>2421487</v>
      </c>
      <c r="BA108" s="1">
        <v>3413595</v>
      </c>
      <c r="BB108" s="1">
        <v>2573658</v>
      </c>
      <c r="BC108" s="1">
        <v>2663220</v>
      </c>
      <c r="BD108" s="1">
        <v>1424413</v>
      </c>
      <c r="BE108" s="1">
        <v>2442246</v>
      </c>
      <c r="BF108" s="1">
        <v>1775179</v>
      </c>
      <c r="BG108" s="1">
        <v>4040335</v>
      </c>
      <c r="BH108" s="1">
        <v>4308649</v>
      </c>
      <c r="BI108" s="1">
        <v>4244196</v>
      </c>
      <c r="BJ108" s="1">
        <v>4365471</v>
      </c>
      <c r="BK108" s="1">
        <v>3330035</v>
      </c>
      <c r="BL108" s="1">
        <v>2554375</v>
      </c>
      <c r="BM108" s="1">
        <v>3590725</v>
      </c>
      <c r="BN108" s="1">
        <v>2945211</v>
      </c>
      <c r="BO108" s="1">
        <v>3579595</v>
      </c>
      <c r="BP108" s="1">
        <v>1697439</v>
      </c>
      <c r="BQ108" s="1">
        <v>2185049</v>
      </c>
      <c r="BR108" s="1">
        <v>2110082</v>
      </c>
      <c r="BS108" s="1">
        <v>5318554</v>
      </c>
      <c r="BT108" s="1">
        <v>5319894</v>
      </c>
      <c r="BU108" s="1">
        <v>3245327</v>
      </c>
      <c r="BV108" s="1">
        <v>7590644</v>
      </c>
      <c r="BW108" s="1">
        <v>5681508</v>
      </c>
      <c r="BX108" s="1">
        <v>3765778</v>
      </c>
      <c r="BY108" s="1">
        <v>4910457</v>
      </c>
      <c r="BZ108" s="1">
        <v>5387113</v>
      </c>
      <c r="CA108" s="1">
        <v>5767757</v>
      </c>
      <c r="CB108" s="1">
        <v>3850037</v>
      </c>
      <c r="CC108" s="1">
        <v>3512262.4799999995</v>
      </c>
      <c r="CD108" s="1">
        <v>3634688.74</v>
      </c>
      <c r="CE108" s="1">
        <v>7642389.2599999998</v>
      </c>
      <c r="CF108" s="1">
        <v>6231187.7800000003</v>
      </c>
      <c r="CG108" s="1">
        <v>8175488.0800000001</v>
      </c>
      <c r="CH108" s="1">
        <v>6441847</v>
      </c>
      <c r="CI108" s="1">
        <v>6058150</v>
      </c>
      <c r="CJ108" s="1">
        <v>7169464</v>
      </c>
      <c r="CK108" s="1">
        <v>4209688</v>
      </c>
      <c r="CL108" s="1">
        <v>5833885</v>
      </c>
      <c r="CM108" s="1">
        <v>6715421.6099999994</v>
      </c>
      <c r="CN108" s="1">
        <v>4745648.24</v>
      </c>
      <c r="CO108" s="1">
        <v>4644428.7300000004</v>
      </c>
      <c r="CP108" s="1">
        <v>6805518.7258500336</v>
      </c>
      <c r="CQ108" s="1">
        <v>9806876.0299999993</v>
      </c>
      <c r="CR108" s="1">
        <v>10648124.57</v>
      </c>
      <c r="CS108" s="1">
        <v>13254775.719999999</v>
      </c>
      <c r="CT108" s="1">
        <v>12833711.408</v>
      </c>
      <c r="CU108" s="1">
        <v>8970922.4600000009</v>
      </c>
      <c r="CV108" s="1">
        <v>6882415.75</v>
      </c>
      <c r="CW108" s="1">
        <v>9428740.9600000009</v>
      </c>
      <c r="CX108" s="1">
        <v>9471604.6500000004</v>
      </c>
      <c r="CY108" s="1">
        <v>9477596.9890000001</v>
      </c>
      <c r="CZ108" s="1">
        <v>7341045.0899999999</v>
      </c>
      <c r="DA108" s="1">
        <v>7310436.9799999995</v>
      </c>
      <c r="DB108" s="1">
        <v>6835619.7600000007</v>
      </c>
      <c r="DC108" s="1">
        <v>8881888.5999999996</v>
      </c>
      <c r="DD108" s="1">
        <v>0</v>
      </c>
      <c r="DE108" s="1">
        <v>0</v>
      </c>
      <c r="DF108" s="1">
        <v>0</v>
      </c>
      <c r="DH108" s="6">
        <f t="shared" si="33"/>
        <v>311005755.19285011</v>
      </c>
    </row>
    <row r="109" spans="1:112" x14ac:dyDescent="0.2">
      <c r="A109" s="5" t="str">
        <f>A108</f>
        <v>LA</v>
      </c>
      <c r="B109" s="5" t="s">
        <v>41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H109" s="6">
        <f t="shared" si="33"/>
        <v>0</v>
      </c>
    </row>
    <row r="110" spans="1:112" x14ac:dyDescent="0.2">
      <c r="A110" s="5" t="s">
        <v>19</v>
      </c>
      <c r="B110" s="5" t="s">
        <v>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>
        <v>642630.12</v>
      </c>
      <c r="BL110" s="1">
        <v>24979240.489999998</v>
      </c>
      <c r="BM110" s="1">
        <v>584520728.12999988</v>
      </c>
      <c r="BN110" s="1">
        <v>574829882.60000002</v>
      </c>
      <c r="BO110" s="1">
        <v>457140440.13000005</v>
      </c>
      <c r="BP110" s="1">
        <v>332312764.27999997</v>
      </c>
      <c r="BQ110" s="1">
        <v>296640882.41999996</v>
      </c>
      <c r="BR110" s="1">
        <v>320736344.34999996</v>
      </c>
      <c r="BS110" s="1">
        <v>519792908.59000003</v>
      </c>
      <c r="BT110" s="1">
        <v>567177958.51999998</v>
      </c>
      <c r="BU110" s="1">
        <v>654894684.66000009</v>
      </c>
      <c r="BV110" s="1">
        <v>655598548.38</v>
      </c>
      <c r="BW110" s="1">
        <v>650279921.80999994</v>
      </c>
      <c r="BX110" s="1">
        <v>538839465.12</v>
      </c>
      <c r="BY110" s="1">
        <v>658740411.07999992</v>
      </c>
      <c r="BZ110" s="1">
        <v>601732077.47000003</v>
      </c>
      <c r="CA110" s="1">
        <v>587433477.48000002</v>
      </c>
      <c r="CB110" s="1">
        <v>505365090.19999999</v>
      </c>
      <c r="CC110" s="1">
        <v>414278424.24000001</v>
      </c>
      <c r="CD110" s="1">
        <v>453078241.20999992</v>
      </c>
      <c r="CE110" s="1">
        <v>679185062.48000002</v>
      </c>
      <c r="CF110" s="1">
        <v>751665343.81999993</v>
      </c>
      <c r="CG110" s="1">
        <v>779193224.84000003</v>
      </c>
      <c r="CH110" s="1">
        <v>784218034.93000007</v>
      </c>
      <c r="CI110" s="1">
        <v>762349450.23999989</v>
      </c>
      <c r="CJ110" s="1">
        <v>622888988.99000001</v>
      </c>
      <c r="CK110" s="1">
        <v>775092727.1400001</v>
      </c>
      <c r="CL110" s="1">
        <v>688062637.9000001</v>
      </c>
      <c r="CM110" s="1">
        <v>655362561.15999997</v>
      </c>
      <c r="CN110" s="1">
        <v>529760306.83000004</v>
      </c>
      <c r="CO110" s="1">
        <v>491542713.71999997</v>
      </c>
      <c r="CP110" s="1">
        <v>551063715.71999991</v>
      </c>
      <c r="CQ110" s="1">
        <v>801936898.57000005</v>
      </c>
      <c r="CR110" s="1">
        <v>898592651.37</v>
      </c>
      <c r="CS110" s="1">
        <v>908167215.88000011</v>
      </c>
      <c r="CT110" s="1">
        <v>844523531.99000001</v>
      </c>
      <c r="CU110" s="1">
        <v>815540814.47000003</v>
      </c>
      <c r="CV110" s="1">
        <v>611424360.96000004</v>
      </c>
      <c r="CW110" s="1">
        <v>701369410.10000002</v>
      </c>
      <c r="CX110" s="1">
        <v>679693254.5</v>
      </c>
      <c r="CY110" s="1">
        <v>630448655.08000004</v>
      </c>
      <c r="CZ110" s="1">
        <v>617634832.79999995</v>
      </c>
      <c r="DA110" s="1">
        <v>590165975.25999999</v>
      </c>
      <c r="DB110" s="1">
        <v>574483163.67999995</v>
      </c>
      <c r="DC110" s="1">
        <v>775889341.45000005</v>
      </c>
      <c r="DD110" s="1">
        <v>0</v>
      </c>
      <c r="DE110" s="1">
        <v>0</v>
      </c>
      <c r="DF110" s="1">
        <v>0</v>
      </c>
      <c r="DH110" s="6">
        <f t="shared" si="33"/>
        <v>26919268995.159996</v>
      </c>
    </row>
    <row r="111" spans="1:112" x14ac:dyDescent="0.2">
      <c r="A111" s="5" t="s">
        <v>19</v>
      </c>
      <c r="B111" s="5" t="s">
        <v>42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>
        <v>563990008.57999992</v>
      </c>
      <c r="BN111" s="1">
        <v>561959246.36000001</v>
      </c>
      <c r="BO111" s="1">
        <v>446041022.23000008</v>
      </c>
      <c r="BP111" s="1">
        <v>324033259.65999997</v>
      </c>
      <c r="BQ111" s="1">
        <v>289725330.79999995</v>
      </c>
      <c r="BR111" s="1">
        <v>312637536.58999997</v>
      </c>
      <c r="BS111" s="1">
        <v>507011880.30000001</v>
      </c>
      <c r="BT111" s="1">
        <v>551565918.13999999</v>
      </c>
      <c r="BU111" s="1">
        <v>637223084.99000013</v>
      </c>
      <c r="BV111" s="1">
        <v>640066338.01999998</v>
      </c>
      <c r="BW111" s="1">
        <v>636955541.66999996</v>
      </c>
      <c r="BX111" s="1">
        <v>526893659.31</v>
      </c>
      <c r="BY111" s="1">
        <v>645731297.31999993</v>
      </c>
      <c r="BZ111" s="1">
        <v>590093819.84000003</v>
      </c>
      <c r="CA111" s="1">
        <v>577321003.49000001</v>
      </c>
      <c r="CB111" s="1">
        <v>496885260.72999996</v>
      </c>
      <c r="CC111" s="1">
        <v>407543488.07999998</v>
      </c>
      <c r="CD111" s="1">
        <v>445109101.00999993</v>
      </c>
      <c r="CE111" s="1">
        <v>667581041.12</v>
      </c>
      <c r="CF111" s="1">
        <v>738474314.66999996</v>
      </c>
      <c r="CG111" s="1">
        <v>765272999.54000008</v>
      </c>
      <c r="CH111" s="1">
        <v>772614393.23000002</v>
      </c>
      <c r="CI111" s="1">
        <v>751428398.55999994</v>
      </c>
      <c r="CJ111" s="1">
        <v>613576884.63999999</v>
      </c>
      <c r="CK111" s="1">
        <v>764236607.55000007</v>
      </c>
      <c r="CL111" s="1">
        <v>678534111.94000006</v>
      </c>
      <c r="CM111" s="1">
        <v>645337480.33999991</v>
      </c>
      <c r="CN111" s="1">
        <v>522629771.82000005</v>
      </c>
      <c r="CO111" s="1">
        <v>485172624.28999996</v>
      </c>
      <c r="CP111" s="1">
        <v>542937786.65999997</v>
      </c>
      <c r="CQ111" s="1">
        <v>791004513.21000004</v>
      </c>
      <c r="CR111" s="1">
        <v>885736245.44000006</v>
      </c>
      <c r="CS111" s="1">
        <v>895465341.69000006</v>
      </c>
      <c r="CT111" s="1">
        <v>832780105</v>
      </c>
      <c r="CU111" s="1">
        <v>803485253.87</v>
      </c>
      <c r="CV111" s="1">
        <v>602976363.98000002</v>
      </c>
      <c r="CW111" s="1">
        <v>692907973.77999997</v>
      </c>
      <c r="CX111" s="1">
        <v>672021372.49000001</v>
      </c>
      <c r="CY111" s="1">
        <v>623333138.9000001</v>
      </c>
      <c r="CZ111" s="1">
        <v>611429332.79999995</v>
      </c>
      <c r="DA111" s="1">
        <v>584657652.35000002</v>
      </c>
      <c r="DB111" s="1">
        <v>569560606.40999997</v>
      </c>
      <c r="DC111" s="1">
        <v>768947149.07000005</v>
      </c>
      <c r="DD111" s="1">
        <v>0</v>
      </c>
      <c r="DE111" s="1">
        <v>0</v>
      </c>
      <c r="DF111" s="1">
        <v>0</v>
      </c>
      <c r="DH111" s="6">
        <f t="shared" si="33"/>
        <v>26442888260.469994</v>
      </c>
    </row>
    <row r="112" spans="1:112" x14ac:dyDescent="0.2">
      <c r="A112" s="5" t="s">
        <v>19</v>
      </c>
      <c r="B112" s="5" t="s">
        <v>43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>
        <f>BK110-BK111</f>
        <v>642630.12</v>
      </c>
      <c r="BL112" s="1">
        <f t="shared" ref="BL112:CC112" si="58">BL110-BL111</f>
        <v>24979240.489999998</v>
      </c>
      <c r="BM112" s="1">
        <f t="shared" si="58"/>
        <v>20530719.549999952</v>
      </c>
      <c r="BN112" s="1">
        <f t="shared" si="58"/>
        <v>12870636.24000001</v>
      </c>
      <c r="BO112" s="1">
        <f t="shared" si="58"/>
        <v>11099417.899999976</v>
      </c>
      <c r="BP112" s="1">
        <f t="shared" si="58"/>
        <v>8279504.6200000048</v>
      </c>
      <c r="BQ112" s="1">
        <f t="shared" si="58"/>
        <v>6915551.6200000048</v>
      </c>
      <c r="BR112" s="1">
        <f t="shared" si="58"/>
        <v>8098807.7599999905</v>
      </c>
      <c r="BS112" s="1">
        <f t="shared" si="58"/>
        <v>12781028.290000021</v>
      </c>
      <c r="BT112" s="1">
        <f t="shared" si="58"/>
        <v>15612040.379999995</v>
      </c>
      <c r="BU112" s="1">
        <f t="shared" si="58"/>
        <v>17671599.669999957</v>
      </c>
      <c r="BV112" s="1">
        <f t="shared" si="58"/>
        <v>15532210.360000014</v>
      </c>
      <c r="BW112" s="1">
        <f t="shared" si="58"/>
        <v>13324380.139999986</v>
      </c>
      <c r="BX112" s="1">
        <f t="shared" si="58"/>
        <v>11945805.810000002</v>
      </c>
      <c r="BY112" s="1">
        <f t="shared" si="58"/>
        <v>13009113.75999999</v>
      </c>
      <c r="BZ112" s="1">
        <f t="shared" si="58"/>
        <v>11638257.629999995</v>
      </c>
      <c r="CA112" s="1">
        <f t="shared" si="58"/>
        <v>10112473.99000001</v>
      </c>
      <c r="CB112" s="1">
        <f t="shared" si="58"/>
        <v>8479829.4700000286</v>
      </c>
      <c r="CC112" s="1">
        <f t="shared" si="58"/>
        <v>6734936.1600000262</v>
      </c>
      <c r="CD112" s="1">
        <f>CD110-CD111</f>
        <v>7969140.1999999881</v>
      </c>
      <c r="CE112" s="1">
        <f>CE110-CE111</f>
        <v>11604021.360000014</v>
      </c>
      <c r="CF112" s="1">
        <f>CF110-CF111</f>
        <v>13191029.149999976</v>
      </c>
      <c r="CG112" s="1">
        <f>CG110-CG111</f>
        <v>13920225.299999952</v>
      </c>
      <c r="CH112" s="1">
        <f>CH110-CH111</f>
        <v>11603641.700000048</v>
      </c>
      <c r="CI112" s="1">
        <f t="shared" ref="CI112:DF112" si="59">CI110-CI111</f>
        <v>10921051.679999948</v>
      </c>
      <c r="CJ112" s="1">
        <f t="shared" si="59"/>
        <v>9312104.3500000238</v>
      </c>
      <c r="CK112" s="1">
        <f t="shared" si="59"/>
        <v>10856119.590000033</v>
      </c>
      <c r="CL112" s="1">
        <f t="shared" si="59"/>
        <v>9528525.9600000381</v>
      </c>
      <c r="CM112" s="1">
        <f t="shared" si="59"/>
        <v>10025080.820000052</v>
      </c>
      <c r="CN112" s="1">
        <f t="shared" si="59"/>
        <v>7130535.0099999905</v>
      </c>
      <c r="CO112" s="1">
        <f t="shared" si="59"/>
        <v>6370089.4300000072</v>
      </c>
      <c r="CP112" s="1">
        <f t="shared" si="59"/>
        <v>8125929.0599999428</v>
      </c>
      <c r="CQ112" s="1">
        <f t="shared" si="59"/>
        <v>10932385.360000014</v>
      </c>
      <c r="CR112" s="1">
        <f t="shared" si="59"/>
        <v>12856405.929999948</v>
      </c>
      <c r="CS112" s="1">
        <f t="shared" si="59"/>
        <v>12701874.190000057</v>
      </c>
      <c r="CT112" s="1">
        <f t="shared" si="59"/>
        <v>11743426.99000001</v>
      </c>
      <c r="CU112" s="1">
        <f t="shared" si="59"/>
        <v>12055560.600000024</v>
      </c>
      <c r="CV112" s="1">
        <f t="shared" si="59"/>
        <v>8447996.9800000191</v>
      </c>
      <c r="CW112" s="1">
        <f t="shared" si="59"/>
        <v>8461436.3200000525</v>
      </c>
      <c r="CX112" s="1">
        <f t="shared" si="59"/>
        <v>7671882.0099999905</v>
      </c>
      <c r="CY112" s="1">
        <f t="shared" si="59"/>
        <v>7115516.1799999475</v>
      </c>
      <c r="CZ112" s="1">
        <f t="shared" si="59"/>
        <v>6205500</v>
      </c>
      <c r="DA112" s="1">
        <f t="shared" si="59"/>
        <v>5508322.9099999666</v>
      </c>
      <c r="DB112" s="1">
        <f t="shared" si="59"/>
        <v>4922557.2699999809</v>
      </c>
      <c r="DC112" s="1">
        <f t="shared" si="59"/>
        <v>6942192.3799999952</v>
      </c>
      <c r="DD112" s="1">
        <f t="shared" si="59"/>
        <v>0</v>
      </c>
      <c r="DE112" s="1">
        <f t="shared" si="59"/>
        <v>0</v>
      </c>
      <c r="DF112" s="1">
        <f t="shared" si="59"/>
        <v>0</v>
      </c>
      <c r="DH112" s="6">
        <f t="shared" si="33"/>
        <v>476380734.69</v>
      </c>
    </row>
    <row r="113" spans="1:112" x14ac:dyDescent="0.2">
      <c r="A113" s="5" t="s">
        <v>19</v>
      </c>
      <c r="B113" s="5" t="s">
        <v>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>
        <v>65075.59</v>
      </c>
      <c r="BL113" s="1">
        <v>1486743.3099999998</v>
      </c>
      <c r="BM113" s="1">
        <v>48321254.409999996</v>
      </c>
      <c r="BN113" s="1">
        <v>60509931.050000004</v>
      </c>
      <c r="BO113" s="1">
        <v>62096790.359999999</v>
      </c>
      <c r="BP113" s="1">
        <v>32918843.970000003</v>
      </c>
      <c r="BQ113" s="1">
        <v>30132704.16</v>
      </c>
      <c r="BR113" s="1">
        <v>23533469.030000001</v>
      </c>
      <c r="BS113" s="1">
        <v>51033637.650000006</v>
      </c>
      <c r="BT113" s="1">
        <v>60715049.609999999</v>
      </c>
      <c r="BU113" s="1">
        <v>50551440.719999999</v>
      </c>
      <c r="BV113" s="1">
        <v>62161918.18</v>
      </c>
      <c r="BW113" s="1">
        <v>72718240.590000018</v>
      </c>
      <c r="BX113" s="1">
        <v>53857609.759999998</v>
      </c>
      <c r="BY113" s="1">
        <v>47840152.360000007</v>
      </c>
      <c r="BZ113" s="1">
        <v>51131273.690000005</v>
      </c>
      <c r="CA113" s="1">
        <v>59025991.289999992</v>
      </c>
      <c r="CB113" s="1">
        <v>42427413.32</v>
      </c>
      <c r="CC113" s="1">
        <v>42232313.68</v>
      </c>
      <c r="CD113" s="1">
        <v>34500602.210000001</v>
      </c>
      <c r="CE113" s="1">
        <v>75371721.710000008</v>
      </c>
      <c r="CF113" s="1">
        <v>50321644.169999994</v>
      </c>
      <c r="CG113" s="1">
        <v>82589650.099999994</v>
      </c>
      <c r="CH113" s="1">
        <v>59418826.730000004</v>
      </c>
      <c r="CI113" s="1">
        <v>96372000.799999997</v>
      </c>
      <c r="CJ113" s="1">
        <v>67108766.620000012</v>
      </c>
      <c r="CK113" s="1">
        <v>54246757.100000001</v>
      </c>
      <c r="CL113" s="1">
        <v>67625682.25</v>
      </c>
      <c r="CM113" s="1">
        <v>82479453.670000002</v>
      </c>
      <c r="CN113" s="1">
        <v>63455206.469999991</v>
      </c>
      <c r="CO113" s="1">
        <v>49227738.479999989</v>
      </c>
      <c r="CP113" s="1">
        <v>57135250.029999994</v>
      </c>
      <c r="CQ113" s="1">
        <v>54277124.439999998</v>
      </c>
      <c r="CR113" s="1">
        <v>73491611.870000005</v>
      </c>
      <c r="CS113" s="1">
        <v>97335441.539999992</v>
      </c>
      <c r="CT113" s="1">
        <v>102474989.14</v>
      </c>
      <c r="CU113" s="1">
        <v>84391383.609999999</v>
      </c>
      <c r="CV113" s="1">
        <v>77627604.700000003</v>
      </c>
      <c r="CW113" s="1">
        <v>67152847.310000002</v>
      </c>
      <c r="CX113" s="1">
        <v>83428332.739999995</v>
      </c>
      <c r="CY113" s="1">
        <v>72126498.090000004</v>
      </c>
      <c r="CZ113" s="1">
        <v>55818597.399999999</v>
      </c>
      <c r="DA113" s="1">
        <v>67004531.999999993</v>
      </c>
      <c r="DB113" s="1">
        <v>48495168.880000003</v>
      </c>
      <c r="DC113" s="1">
        <v>72597290.429999992</v>
      </c>
      <c r="DD113" s="1">
        <v>0</v>
      </c>
      <c r="DE113" s="1">
        <v>0</v>
      </c>
      <c r="DF113" s="1">
        <v>0</v>
      </c>
      <c r="DH113" s="6">
        <f t="shared" si="33"/>
        <v>2648834575.2199998</v>
      </c>
    </row>
    <row r="114" spans="1:112" x14ac:dyDescent="0.2">
      <c r="A114" s="5" t="s">
        <v>19</v>
      </c>
      <c r="B114" s="5" t="s">
        <v>44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>
        <v>46815576.499999993</v>
      </c>
      <c r="BN114" s="1">
        <v>59884578.330000006</v>
      </c>
      <c r="BO114" s="1">
        <v>60484866.700000003</v>
      </c>
      <c r="BP114" s="1">
        <v>32743972.900000002</v>
      </c>
      <c r="BQ114" s="1">
        <v>29539580.52</v>
      </c>
      <c r="BR114" s="1">
        <v>23308229.16</v>
      </c>
      <c r="BS114" s="1">
        <v>50219306.100000009</v>
      </c>
      <c r="BT114" s="1">
        <v>59695891.359999999</v>
      </c>
      <c r="BU114" s="1">
        <v>50136930.859999999</v>
      </c>
      <c r="BV114" s="1">
        <v>60829888.670000002</v>
      </c>
      <c r="BW114" s="1">
        <v>71476085.840000018</v>
      </c>
      <c r="BX114" s="1">
        <v>53104097.109999999</v>
      </c>
      <c r="BY114" s="1">
        <v>47076448.160000004</v>
      </c>
      <c r="BZ114" s="1">
        <v>50820742.550000004</v>
      </c>
      <c r="CA114" s="1">
        <v>58328872.809999995</v>
      </c>
      <c r="CB114" s="1">
        <v>42246351.539999999</v>
      </c>
      <c r="CC114" s="1">
        <v>41693941.579999998</v>
      </c>
      <c r="CD114" s="1">
        <v>34033784.32</v>
      </c>
      <c r="CE114" s="1">
        <v>73804265.900000006</v>
      </c>
      <c r="CF114" s="1">
        <v>50096114.369999997</v>
      </c>
      <c r="CG114" s="1">
        <v>81460455.329999998</v>
      </c>
      <c r="CH114" s="1">
        <v>59343880.410000004</v>
      </c>
      <c r="CI114" s="1">
        <v>95413225.989999995</v>
      </c>
      <c r="CJ114" s="1">
        <v>66852671.770000011</v>
      </c>
      <c r="CK114" s="1">
        <v>53902544.990000002</v>
      </c>
      <c r="CL114" s="1">
        <v>67118710.859999999</v>
      </c>
      <c r="CM114" s="1">
        <v>81475308.920000002</v>
      </c>
      <c r="CN114" s="1">
        <v>62850225.729999989</v>
      </c>
      <c r="CO114" s="1">
        <v>48644427.359999992</v>
      </c>
      <c r="CP114" s="1">
        <v>56436953.369999997</v>
      </c>
      <c r="CQ114" s="1">
        <v>53865162.649999999</v>
      </c>
      <c r="CR114" s="1">
        <v>72864140.859999999</v>
      </c>
      <c r="CS114" s="1">
        <v>96076939.459999993</v>
      </c>
      <c r="CT114" s="1">
        <v>101088186.23999999</v>
      </c>
      <c r="CU114" s="1">
        <v>84058845.730000004</v>
      </c>
      <c r="CV114" s="1">
        <v>76654305.280000001</v>
      </c>
      <c r="CW114" s="1">
        <v>66446281.160000004</v>
      </c>
      <c r="CX114" s="1">
        <v>82564305.219999999</v>
      </c>
      <c r="CY114" s="1">
        <v>71592104.280000001</v>
      </c>
      <c r="CZ114" s="1">
        <v>55106651.549999997</v>
      </c>
      <c r="DA114" s="1">
        <v>66530607.929999992</v>
      </c>
      <c r="DB114" s="1">
        <v>48044878.030000001</v>
      </c>
      <c r="DC114" s="1">
        <v>72189663.769999996</v>
      </c>
      <c r="DD114" s="1">
        <v>0</v>
      </c>
      <c r="DE114" s="1">
        <v>0</v>
      </c>
      <c r="DF114" s="1">
        <v>0</v>
      </c>
      <c r="DH114" s="6">
        <f t="shared" si="33"/>
        <v>2616920002.1700001</v>
      </c>
    </row>
    <row r="115" spans="1:112" x14ac:dyDescent="0.2">
      <c r="A115" s="5" t="s">
        <v>19</v>
      </c>
      <c r="B115" s="5" t="s">
        <v>45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>
        <f>BK113-BK114</f>
        <v>65075.59</v>
      </c>
      <c r="BL115" s="1">
        <f t="shared" ref="BL115:CC115" si="60">BL113-BL114</f>
        <v>1486743.3099999998</v>
      </c>
      <c r="BM115" s="1">
        <f t="shared" si="60"/>
        <v>1505677.9100000039</v>
      </c>
      <c r="BN115" s="1">
        <f t="shared" si="60"/>
        <v>625352.71999999881</v>
      </c>
      <c r="BO115" s="1">
        <f t="shared" si="60"/>
        <v>1611923.6599999964</v>
      </c>
      <c r="BP115" s="1">
        <f t="shared" si="60"/>
        <v>174871.0700000003</v>
      </c>
      <c r="BQ115" s="1">
        <f t="shared" si="60"/>
        <v>593123.6400000006</v>
      </c>
      <c r="BR115" s="1">
        <f t="shared" si="60"/>
        <v>225239.87000000104</v>
      </c>
      <c r="BS115" s="1">
        <f t="shared" si="60"/>
        <v>814331.54999999702</v>
      </c>
      <c r="BT115" s="1">
        <f t="shared" si="60"/>
        <v>1019158.25</v>
      </c>
      <c r="BU115" s="1">
        <f t="shared" si="60"/>
        <v>414509.8599999994</v>
      </c>
      <c r="BV115" s="1">
        <f t="shared" si="60"/>
        <v>1332029.5099999979</v>
      </c>
      <c r="BW115" s="1">
        <f t="shared" si="60"/>
        <v>1242154.75</v>
      </c>
      <c r="BX115" s="1">
        <f t="shared" si="60"/>
        <v>753512.64999999851</v>
      </c>
      <c r="BY115" s="1">
        <f t="shared" si="60"/>
        <v>763704.20000000298</v>
      </c>
      <c r="BZ115" s="1">
        <f t="shared" si="60"/>
        <v>310531.1400000006</v>
      </c>
      <c r="CA115" s="1">
        <f t="shared" si="60"/>
        <v>697118.47999999672</v>
      </c>
      <c r="CB115" s="1">
        <f t="shared" si="60"/>
        <v>181061.78000000119</v>
      </c>
      <c r="CC115" s="1">
        <f t="shared" si="60"/>
        <v>538372.10000000149</v>
      </c>
      <c r="CD115" s="1">
        <f>CD113-CD114</f>
        <v>466817.8900000006</v>
      </c>
      <c r="CE115" s="1">
        <f>CE113-CE114</f>
        <v>1567455.8100000024</v>
      </c>
      <c r="CF115" s="1">
        <f>CF113-CF114</f>
        <v>225529.79999999702</v>
      </c>
      <c r="CG115" s="1">
        <f>CG113-CG114</f>
        <v>1129194.7699999958</v>
      </c>
      <c r="CH115" s="1">
        <f>CH113-CH114</f>
        <v>74946.320000000298</v>
      </c>
      <c r="CI115" s="1">
        <f t="shared" ref="CI115:DF115" si="61">CI113-CI114</f>
        <v>958774.81000000238</v>
      </c>
      <c r="CJ115" s="1">
        <f t="shared" si="61"/>
        <v>256094.85000000149</v>
      </c>
      <c r="CK115" s="1">
        <f t="shared" si="61"/>
        <v>344212.1099999994</v>
      </c>
      <c r="CL115" s="1">
        <f t="shared" si="61"/>
        <v>506971.3900000006</v>
      </c>
      <c r="CM115" s="1">
        <f t="shared" si="61"/>
        <v>1004144.75</v>
      </c>
      <c r="CN115" s="1">
        <f t="shared" si="61"/>
        <v>604980.74000000209</v>
      </c>
      <c r="CO115" s="1">
        <f t="shared" si="61"/>
        <v>583311.11999999732</v>
      </c>
      <c r="CP115" s="1">
        <f t="shared" si="61"/>
        <v>698296.65999999642</v>
      </c>
      <c r="CQ115" s="1">
        <f t="shared" si="61"/>
        <v>411961.78999999911</v>
      </c>
      <c r="CR115" s="1">
        <f t="shared" si="61"/>
        <v>627471.01000000536</v>
      </c>
      <c r="CS115" s="1">
        <f t="shared" si="61"/>
        <v>1258502.0799999982</v>
      </c>
      <c r="CT115" s="1">
        <f t="shared" si="61"/>
        <v>1386802.900000006</v>
      </c>
      <c r="CU115" s="1">
        <f t="shared" si="61"/>
        <v>332537.87999999523</v>
      </c>
      <c r="CV115" s="1">
        <f t="shared" si="61"/>
        <v>973299.42000000179</v>
      </c>
      <c r="CW115" s="1">
        <f t="shared" si="61"/>
        <v>706566.14999999851</v>
      </c>
      <c r="CX115" s="1">
        <f t="shared" si="61"/>
        <v>864027.51999999583</v>
      </c>
      <c r="CY115" s="1">
        <f t="shared" si="61"/>
        <v>534393.81000000238</v>
      </c>
      <c r="CZ115" s="1">
        <f t="shared" si="61"/>
        <v>711945.85000000149</v>
      </c>
      <c r="DA115" s="1">
        <f t="shared" si="61"/>
        <v>473924.0700000003</v>
      </c>
      <c r="DB115" s="1">
        <f t="shared" si="61"/>
        <v>450290.85000000149</v>
      </c>
      <c r="DC115" s="1">
        <f t="shared" si="61"/>
        <v>407626.65999999642</v>
      </c>
      <c r="DD115" s="1">
        <f t="shared" si="61"/>
        <v>0</v>
      </c>
      <c r="DE115" s="1">
        <f t="shared" si="61"/>
        <v>0</v>
      </c>
      <c r="DF115" s="1">
        <f t="shared" si="61"/>
        <v>0</v>
      </c>
      <c r="DH115" s="6">
        <f t="shared" si="33"/>
        <v>31914573.049999997</v>
      </c>
    </row>
    <row r="116" spans="1:112" x14ac:dyDescent="0.2">
      <c r="A116" s="5" t="s">
        <v>19</v>
      </c>
      <c r="B116" s="5" t="s">
        <v>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>
        <v>64747.07</v>
      </c>
      <c r="BL116" s="1">
        <v>1425299.97</v>
      </c>
      <c r="BM116" s="1">
        <v>47092657.640000001</v>
      </c>
      <c r="BN116" s="1">
        <v>59145243.830000006</v>
      </c>
      <c r="BO116" s="1">
        <v>60999048.850000001</v>
      </c>
      <c r="BP116" s="1">
        <v>32075765.080000002</v>
      </c>
      <c r="BQ116" s="1">
        <v>29337133.859999999</v>
      </c>
      <c r="BR116" s="1">
        <v>22701931.09</v>
      </c>
      <c r="BS116" s="1">
        <v>49652462.560000002</v>
      </c>
      <c r="BT116" s="1">
        <v>59332538.270000003</v>
      </c>
      <c r="BU116" s="1">
        <v>48947281.63000001</v>
      </c>
      <c r="BV116" s="1">
        <v>60550155.229999997</v>
      </c>
      <c r="BW116" s="1">
        <v>71130754.960000008</v>
      </c>
      <c r="BX116" s="1">
        <v>52547175.999999993</v>
      </c>
      <c r="BY116" s="1">
        <v>46225891.260000005</v>
      </c>
      <c r="BZ116" s="1">
        <v>49667185.210000001</v>
      </c>
      <c r="CA116" s="1">
        <v>57594519.920000002</v>
      </c>
      <c r="CB116" s="1">
        <v>41197423.560000002</v>
      </c>
      <c r="CC116" s="1">
        <v>40973505</v>
      </c>
      <c r="CD116" s="1">
        <v>33328791.239999998</v>
      </c>
      <c r="CE116" s="1">
        <v>73505112.200000003</v>
      </c>
      <c r="CF116" s="1">
        <v>48300748.489999995</v>
      </c>
      <c r="CG116" s="1">
        <v>80468945.139999986</v>
      </c>
      <c r="CH116" s="1">
        <v>57512913.939999998</v>
      </c>
      <c r="CI116" s="1">
        <v>94374882.13000001</v>
      </c>
      <c r="CJ116" s="1">
        <v>65570376.829999991</v>
      </c>
      <c r="CK116" s="1">
        <v>52118799.699999996</v>
      </c>
      <c r="CL116" s="1">
        <v>65941353.909999996</v>
      </c>
      <c r="CM116" s="1">
        <v>80732076.940000013</v>
      </c>
      <c r="CN116" s="1">
        <v>62050263.850000001</v>
      </c>
      <c r="CO116" s="1">
        <v>48027223.609999999</v>
      </c>
      <c r="CP116" s="1">
        <v>55802426.689999998</v>
      </c>
      <c r="CQ116" s="1">
        <v>52339297.36999999</v>
      </c>
      <c r="CR116" s="1">
        <v>71300850.299999997</v>
      </c>
      <c r="CS116" s="1">
        <v>94943716.569999993</v>
      </c>
      <c r="CT116" s="1">
        <v>98466405.150000006</v>
      </c>
      <c r="CU116" s="1">
        <v>82401311.129999995</v>
      </c>
      <c r="CV116" s="1">
        <v>76129527.299999997</v>
      </c>
      <c r="CW116" s="1">
        <v>65435665.659999996</v>
      </c>
      <c r="CX116" s="1">
        <v>81772049.469999999</v>
      </c>
      <c r="CY116" s="1">
        <v>70586592.169999987</v>
      </c>
      <c r="CZ116" s="1">
        <v>54319673.18999999</v>
      </c>
      <c r="DA116" s="1">
        <v>65563816.109999999</v>
      </c>
      <c r="DB116" s="1">
        <v>47088617.619999997</v>
      </c>
      <c r="DC116" s="1">
        <v>71189118.200000003</v>
      </c>
      <c r="DD116" s="1">
        <v>0</v>
      </c>
      <c r="DE116" s="1">
        <v>0</v>
      </c>
      <c r="DF116" s="1">
        <v>0</v>
      </c>
      <c r="DH116" s="6">
        <f t="shared" si="33"/>
        <v>2579931275.8999996</v>
      </c>
    </row>
    <row r="117" spans="1:112" x14ac:dyDescent="0.2">
      <c r="A117" s="5" t="s">
        <v>19</v>
      </c>
      <c r="B117" s="5" t="s">
        <v>7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>
        <v>9717.5600000000013</v>
      </c>
      <c r="BL117" s="1">
        <v>202660.08000000002</v>
      </c>
      <c r="BM117" s="1">
        <v>9345766.5999999996</v>
      </c>
      <c r="BN117" s="1">
        <v>11799200.030000001</v>
      </c>
      <c r="BO117" s="1">
        <v>12120400</v>
      </c>
      <c r="BP117" s="1">
        <v>6409216.7000000002</v>
      </c>
      <c r="BQ117" s="1">
        <v>5842263.4300000006</v>
      </c>
      <c r="BR117" s="1">
        <v>4532847.55</v>
      </c>
      <c r="BS117" s="1">
        <v>9898637.6600000001</v>
      </c>
      <c r="BT117" s="1">
        <v>11817541.16</v>
      </c>
      <c r="BU117" s="1">
        <v>9770946.4299999997</v>
      </c>
      <c r="BV117" s="1">
        <v>12045360.880000001</v>
      </c>
      <c r="BW117" s="1">
        <v>14165764.899999999</v>
      </c>
      <c r="BX117" s="1">
        <v>10514395.48</v>
      </c>
      <c r="BY117" s="1">
        <v>9208586.7799999993</v>
      </c>
      <c r="BZ117" s="1">
        <v>9918582.5699999984</v>
      </c>
      <c r="CA117" s="1">
        <v>11485180.939999999</v>
      </c>
      <c r="CB117" s="1">
        <v>8232156.75</v>
      </c>
      <c r="CC117" s="1">
        <v>8180118.4100000001</v>
      </c>
      <c r="CD117" s="1">
        <v>6646701.4300000006</v>
      </c>
      <c r="CE117" s="1">
        <v>14635556.619999999</v>
      </c>
      <c r="CF117" s="1">
        <v>9659885.4099999983</v>
      </c>
      <c r="CG117" s="1">
        <v>16049677.83</v>
      </c>
      <c r="CH117" s="1">
        <v>11499379.909999998</v>
      </c>
      <c r="CI117" s="1">
        <v>18836028.739999998</v>
      </c>
      <c r="CJ117" s="1">
        <v>13103805.860000001</v>
      </c>
      <c r="CK117" s="1">
        <v>10410483.16</v>
      </c>
      <c r="CL117" s="1">
        <v>13163929.330000002</v>
      </c>
      <c r="CM117" s="1">
        <v>16104935.440000001</v>
      </c>
      <c r="CN117" s="1">
        <v>12386336.880000001</v>
      </c>
      <c r="CO117" s="1">
        <v>9577074.3400000017</v>
      </c>
      <c r="CP117" s="1">
        <v>11126417.9</v>
      </c>
      <c r="CQ117" s="1">
        <v>10448513.859999999</v>
      </c>
      <c r="CR117" s="1">
        <v>14230225.029999999</v>
      </c>
      <c r="CS117" s="1">
        <v>18935535.800000001</v>
      </c>
      <c r="CT117" s="1">
        <v>19627172.460000001</v>
      </c>
      <c r="CU117" s="1">
        <v>16465125.979999999</v>
      </c>
      <c r="CV117" s="1">
        <v>15178315.02</v>
      </c>
      <c r="CW117" s="1">
        <v>13052858.48</v>
      </c>
      <c r="CX117" s="1">
        <v>16312177.949999997</v>
      </c>
      <c r="CY117" s="1">
        <v>14091494.520000001</v>
      </c>
      <c r="CZ117" s="1">
        <v>10829105.940000001</v>
      </c>
      <c r="DA117" s="1">
        <v>13089671.690000001</v>
      </c>
      <c r="DB117" s="1">
        <v>9395794.3000000026</v>
      </c>
      <c r="DC117" s="1">
        <v>14221533.229999999</v>
      </c>
      <c r="DD117" s="1">
        <v>0</v>
      </c>
      <c r="DE117" s="1">
        <v>0</v>
      </c>
      <c r="DF117" s="1">
        <v>0</v>
      </c>
      <c r="DH117" s="6">
        <f t="shared" si="33"/>
        <v>514577081.01999998</v>
      </c>
    </row>
    <row r="118" spans="1:112" x14ac:dyDescent="0.2">
      <c r="A118" s="5" t="str">
        <f>A117</f>
        <v>MA</v>
      </c>
      <c r="B118" s="5" t="s">
        <v>41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H118" s="6">
        <f t="shared" si="33"/>
        <v>0</v>
      </c>
    </row>
    <row r="119" spans="1:112" x14ac:dyDescent="0.2">
      <c r="A119" s="5" t="s">
        <v>20</v>
      </c>
      <c r="B119" s="5" t="s">
        <v>4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>
        <v>16552430.25</v>
      </c>
      <c r="AY119" s="1">
        <v>32530830.789999999</v>
      </c>
      <c r="AZ119" s="1">
        <v>25526147.510000002</v>
      </c>
      <c r="BA119" s="1">
        <v>31025891.530000001</v>
      </c>
      <c r="BB119" s="1">
        <v>26908845</v>
      </c>
      <c r="BC119" s="1">
        <v>23095541.879999999</v>
      </c>
      <c r="BD119" s="1">
        <v>19121331.02</v>
      </c>
      <c r="BE119" s="1">
        <v>15492757.390000001</v>
      </c>
      <c r="BF119" s="1">
        <v>18650801.84</v>
      </c>
      <c r="BG119" s="1">
        <v>31376072.43</v>
      </c>
      <c r="BH119" s="1">
        <v>39663585.659999996</v>
      </c>
      <c r="BI119" s="1">
        <v>219071373.52000001</v>
      </c>
      <c r="BJ119" s="1">
        <v>497121655.57999998</v>
      </c>
      <c r="BK119" s="1">
        <v>441481778.86000001</v>
      </c>
      <c r="BL119" s="1">
        <v>339421545.63999999</v>
      </c>
      <c r="BM119" s="1">
        <v>385967194.94</v>
      </c>
      <c r="BN119" s="1">
        <v>328454396.85000002</v>
      </c>
      <c r="BO119" s="1">
        <v>320199671</v>
      </c>
      <c r="BP119" s="1">
        <v>254476790.17000002</v>
      </c>
      <c r="BQ119" s="1">
        <v>247412347.75</v>
      </c>
      <c r="BR119" s="1">
        <v>263729559.11000001</v>
      </c>
      <c r="BS119" s="1">
        <v>442450665.91000003</v>
      </c>
      <c r="BT119" s="1">
        <v>483147391.17999995</v>
      </c>
      <c r="BU119" s="1">
        <v>550716328.62</v>
      </c>
      <c r="BV119" s="1">
        <v>559865462.66999996</v>
      </c>
      <c r="BW119" s="1">
        <v>544971369.27999997</v>
      </c>
      <c r="BX119" s="1">
        <v>442557658.06999993</v>
      </c>
      <c r="BY119" s="1">
        <v>536730427.14999998</v>
      </c>
      <c r="BZ119" s="1">
        <v>486319123.75</v>
      </c>
      <c r="CA119" s="1">
        <v>431528136.94999999</v>
      </c>
      <c r="CB119" s="1">
        <v>384687981.64000005</v>
      </c>
      <c r="CC119" s="1">
        <v>333269669.48999995</v>
      </c>
      <c r="CD119" s="1">
        <v>377381688.53000003</v>
      </c>
      <c r="CE119" s="1">
        <v>532866675.83999997</v>
      </c>
      <c r="CF119" s="1">
        <v>593105471.2299999</v>
      </c>
      <c r="CG119" s="1">
        <v>639867400.41999984</v>
      </c>
      <c r="CH119" s="1">
        <v>637301167.68000007</v>
      </c>
      <c r="CI119" s="1">
        <v>618824226.24000001</v>
      </c>
      <c r="CJ119" s="1">
        <v>475708503.54000002</v>
      </c>
      <c r="CK119" s="1">
        <v>588500308.25000012</v>
      </c>
      <c r="CL119" s="1">
        <v>513716231.65999997</v>
      </c>
      <c r="CM119" s="1">
        <v>504448189.86000001</v>
      </c>
      <c r="CN119" s="1">
        <v>403841871.89000005</v>
      </c>
      <c r="CO119" s="1">
        <v>364075296.10999995</v>
      </c>
      <c r="CP119" s="1">
        <v>434220458.26999992</v>
      </c>
      <c r="CQ119" s="1">
        <v>650971388.25</v>
      </c>
      <c r="CR119" s="1">
        <v>736610584.94000018</v>
      </c>
      <c r="CS119" s="1">
        <v>720180852.87000012</v>
      </c>
      <c r="CT119" s="1">
        <v>636272774.35000002</v>
      </c>
      <c r="CU119" s="1">
        <v>615845562.70000005</v>
      </c>
      <c r="CV119" s="1">
        <v>515655127.35000002</v>
      </c>
      <c r="CW119" s="1">
        <v>604713646.04999995</v>
      </c>
      <c r="CX119" s="1">
        <v>574228456.43999994</v>
      </c>
      <c r="CY119" s="1">
        <v>535415353.32000011</v>
      </c>
      <c r="CZ119" s="1">
        <v>523337113.23999995</v>
      </c>
      <c r="DA119" s="1">
        <v>496407334.96000004</v>
      </c>
      <c r="DB119" s="1">
        <v>465906572.48999995</v>
      </c>
      <c r="DC119" s="1">
        <v>652200899.97999978</v>
      </c>
      <c r="DD119" s="1">
        <v>0</v>
      </c>
      <c r="DE119" s="1">
        <v>0</v>
      </c>
      <c r="DF119" s="1">
        <v>0</v>
      </c>
      <c r="DH119" s="6">
        <f t="shared" si="33"/>
        <v>23185127919.889999</v>
      </c>
    </row>
    <row r="120" spans="1:112" x14ac:dyDescent="0.2">
      <c r="A120" s="5" t="s">
        <v>20</v>
      </c>
      <c r="B120" s="5" t="s">
        <v>42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>
        <v>186084495.57000002</v>
      </c>
      <c r="BJ120" s="1">
        <v>478270326.19999999</v>
      </c>
      <c r="BK120" s="1">
        <v>422657953.75999999</v>
      </c>
      <c r="BL120" s="1">
        <v>325078707.52999997</v>
      </c>
      <c r="BM120" s="1">
        <v>370290622.10000002</v>
      </c>
      <c r="BN120" s="1">
        <v>313472676.39000005</v>
      </c>
      <c r="BO120" s="1">
        <v>305063590.51999998</v>
      </c>
      <c r="BP120" s="1">
        <v>243817173.07000002</v>
      </c>
      <c r="BQ120" s="1">
        <v>237525907.62</v>
      </c>
      <c r="BR120" s="1">
        <v>250360244.00999999</v>
      </c>
      <c r="BS120" s="1">
        <v>420957789.26999998</v>
      </c>
      <c r="BT120" s="1">
        <v>463502423.48999995</v>
      </c>
      <c r="BU120" s="1">
        <v>533276786.93000001</v>
      </c>
      <c r="BV120" s="1">
        <v>541650933.62</v>
      </c>
      <c r="BW120" s="1">
        <v>527778629.12</v>
      </c>
      <c r="BX120" s="1">
        <v>428432672.78999996</v>
      </c>
      <c r="BY120" s="1">
        <v>522107503.33999997</v>
      </c>
      <c r="BZ120" s="1">
        <v>474993823.02999997</v>
      </c>
      <c r="CA120" s="1">
        <v>419488479.81999999</v>
      </c>
      <c r="CB120" s="1">
        <v>373418989.79000002</v>
      </c>
      <c r="CC120" s="1">
        <v>324900679.55999994</v>
      </c>
      <c r="CD120" s="1">
        <v>368400947.34000003</v>
      </c>
      <c r="CE120" s="1">
        <v>518910635.37</v>
      </c>
      <c r="CF120" s="1">
        <v>576429289.48999989</v>
      </c>
      <c r="CG120" s="1">
        <v>621012111.84999979</v>
      </c>
      <c r="CH120" s="1">
        <v>619458099.24000013</v>
      </c>
      <c r="CI120" s="1">
        <v>601253356.46000004</v>
      </c>
      <c r="CJ120" s="1">
        <v>463172910.71999997</v>
      </c>
      <c r="CK120" s="1">
        <v>573354413.92000008</v>
      </c>
      <c r="CL120" s="1">
        <v>501403953.60999995</v>
      </c>
      <c r="CM120" s="1">
        <v>494189619.56999999</v>
      </c>
      <c r="CN120" s="1">
        <v>396184224.99000007</v>
      </c>
      <c r="CO120" s="1">
        <v>357525579.58999997</v>
      </c>
      <c r="CP120" s="1">
        <v>426612092.37999994</v>
      </c>
      <c r="CQ120" s="1">
        <v>636667609.73000002</v>
      </c>
      <c r="CR120" s="1">
        <v>723349041.86000013</v>
      </c>
      <c r="CS120" s="1">
        <v>707252698.83000016</v>
      </c>
      <c r="CT120" s="1">
        <v>626063020.75</v>
      </c>
      <c r="CU120" s="1">
        <v>604711664.28000009</v>
      </c>
      <c r="CV120" s="1">
        <v>506673876.81999999</v>
      </c>
      <c r="CW120" s="1">
        <v>595247135.42999995</v>
      </c>
      <c r="CX120" s="1">
        <v>566119770.96999991</v>
      </c>
      <c r="CY120" s="1">
        <v>526181378.86000013</v>
      </c>
      <c r="CZ120" s="1">
        <v>515372825.28999996</v>
      </c>
      <c r="DA120" s="1">
        <v>489159875.68000007</v>
      </c>
      <c r="DB120" s="1">
        <v>458767840.65999997</v>
      </c>
      <c r="DC120" s="1">
        <v>641151297.54999983</v>
      </c>
      <c r="DD120" s="1">
        <v>0</v>
      </c>
      <c r="DE120" s="1">
        <v>0</v>
      </c>
      <c r="DF120" s="1">
        <v>0</v>
      </c>
      <c r="DH120" s="6">
        <f t="shared" si="33"/>
        <v>22277755678.769997</v>
      </c>
    </row>
    <row r="121" spans="1:112" x14ac:dyDescent="0.2">
      <c r="A121" s="5" t="s">
        <v>20</v>
      </c>
      <c r="B121" s="5" t="s">
        <v>43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>
        <f t="shared" ref="AX121:DF121" si="62">AX119-AX120</f>
        <v>16552430.25</v>
      </c>
      <c r="AY121" s="1">
        <f t="shared" si="62"/>
        <v>32530830.789999999</v>
      </c>
      <c r="AZ121" s="1">
        <f t="shared" si="62"/>
        <v>25526147.510000002</v>
      </c>
      <c r="BA121" s="1">
        <f t="shared" si="62"/>
        <v>31025891.530000001</v>
      </c>
      <c r="BB121" s="1">
        <f t="shared" si="62"/>
        <v>26908845</v>
      </c>
      <c r="BC121" s="1">
        <f t="shared" si="62"/>
        <v>23095541.879999999</v>
      </c>
      <c r="BD121" s="1">
        <f t="shared" si="62"/>
        <v>19121331.02</v>
      </c>
      <c r="BE121" s="1">
        <f t="shared" si="62"/>
        <v>15492757.390000001</v>
      </c>
      <c r="BF121" s="1">
        <f t="shared" si="62"/>
        <v>18650801.84</v>
      </c>
      <c r="BG121" s="1">
        <f t="shared" si="62"/>
        <v>31376072.43</v>
      </c>
      <c r="BH121" s="1">
        <f t="shared" si="62"/>
        <v>39663585.659999996</v>
      </c>
      <c r="BI121" s="1">
        <f t="shared" si="62"/>
        <v>32986877.949999988</v>
      </c>
      <c r="BJ121" s="1">
        <f t="shared" si="62"/>
        <v>18851329.379999995</v>
      </c>
      <c r="BK121" s="1">
        <f t="shared" si="62"/>
        <v>18823825.100000024</v>
      </c>
      <c r="BL121" s="1">
        <f t="shared" si="62"/>
        <v>14342838.110000014</v>
      </c>
      <c r="BM121" s="1">
        <f t="shared" si="62"/>
        <v>15676572.839999974</v>
      </c>
      <c r="BN121" s="1">
        <f t="shared" si="62"/>
        <v>14981720.459999979</v>
      </c>
      <c r="BO121" s="1">
        <f t="shared" si="62"/>
        <v>15136080.480000019</v>
      </c>
      <c r="BP121" s="1">
        <f t="shared" si="62"/>
        <v>10659617.099999994</v>
      </c>
      <c r="BQ121" s="1">
        <f t="shared" si="62"/>
        <v>9886440.1299999952</v>
      </c>
      <c r="BR121" s="1">
        <f t="shared" si="62"/>
        <v>13369315.100000024</v>
      </c>
      <c r="BS121" s="1">
        <f t="shared" si="62"/>
        <v>21492876.640000045</v>
      </c>
      <c r="BT121" s="1">
        <f t="shared" si="62"/>
        <v>19644967.689999998</v>
      </c>
      <c r="BU121" s="1">
        <f t="shared" si="62"/>
        <v>17439541.689999998</v>
      </c>
      <c r="BV121" s="1">
        <f t="shared" si="62"/>
        <v>18214529.049999952</v>
      </c>
      <c r="BW121" s="1">
        <f t="shared" si="62"/>
        <v>17192740.159999967</v>
      </c>
      <c r="BX121" s="1">
        <f t="shared" si="62"/>
        <v>14124985.279999971</v>
      </c>
      <c r="BY121" s="1">
        <f t="shared" si="62"/>
        <v>14622923.810000002</v>
      </c>
      <c r="BZ121" s="1">
        <f t="shared" si="62"/>
        <v>11325300.720000029</v>
      </c>
      <c r="CA121" s="1">
        <f t="shared" si="62"/>
        <v>12039657.129999995</v>
      </c>
      <c r="CB121" s="1">
        <f t="shared" si="62"/>
        <v>11268991.850000024</v>
      </c>
      <c r="CC121" s="1">
        <f t="shared" si="62"/>
        <v>8368989.9300000072</v>
      </c>
      <c r="CD121" s="1">
        <f t="shared" si="62"/>
        <v>8980741.1899999976</v>
      </c>
      <c r="CE121" s="1">
        <f t="shared" si="62"/>
        <v>13956040.469999969</v>
      </c>
      <c r="CF121" s="1">
        <f t="shared" si="62"/>
        <v>16676181.74000001</v>
      </c>
      <c r="CG121" s="1">
        <f t="shared" si="62"/>
        <v>18855288.570000052</v>
      </c>
      <c r="CH121" s="1">
        <f t="shared" si="62"/>
        <v>17843068.439999938</v>
      </c>
      <c r="CI121" s="1">
        <f t="shared" si="62"/>
        <v>17570869.779999971</v>
      </c>
      <c r="CJ121" s="1">
        <f t="shared" si="62"/>
        <v>12535592.820000052</v>
      </c>
      <c r="CK121" s="1">
        <f t="shared" si="62"/>
        <v>15145894.330000043</v>
      </c>
      <c r="CL121" s="1">
        <f t="shared" si="62"/>
        <v>12312278.050000012</v>
      </c>
      <c r="CM121" s="1">
        <f t="shared" si="62"/>
        <v>10258570.290000021</v>
      </c>
      <c r="CN121" s="1">
        <f t="shared" si="62"/>
        <v>7657646.8999999762</v>
      </c>
      <c r="CO121" s="1">
        <f t="shared" si="62"/>
        <v>6549716.5199999809</v>
      </c>
      <c r="CP121" s="1">
        <f t="shared" si="62"/>
        <v>7608365.8899999857</v>
      </c>
      <c r="CQ121" s="1">
        <f t="shared" si="62"/>
        <v>14303778.519999981</v>
      </c>
      <c r="CR121" s="1">
        <f t="shared" si="62"/>
        <v>13261543.080000043</v>
      </c>
      <c r="CS121" s="1">
        <f t="shared" si="62"/>
        <v>12928154.039999962</v>
      </c>
      <c r="CT121" s="1">
        <f t="shared" si="62"/>
        <v>10209753.600000024</v>
      </c>
      <c r="CU121" s="1">
        <f t="shared" si="62"/>
        <v>11133898.419999957</v>
      </c>
      <c r="CV121" s="1">
        <f t="shared" si="62"/>
        <v>8981250.530000031</v>
      </c>
      <c r="CW121" s="1">
        <f t="shared" si="62"/>
        <v>9466510.6200000048</v>
      </c>
      <c r="CX121" s="1">
        <f t="shared" si="62"/>
        <v>8108685.4700000286</v>
      </c>
      <c r="CY121" s="1">
        <f t="shared" si="62"/>
        <v>9233974.4599999785</v>
      </c>
      <c r="CZ121" s="1">
        <f t="shared" si="62"/>
        <v>7964287.9499999881</v>
      </c>
      <c r="DA121" s="1">
        <f t="shared" si="62"/>
        <v>7247459.2799999714</v>
      </c>
      <c r="DB121" s="1">
        <f t="shared" si="62"/>
        <v>7138731.8299999833</v>
      </c>
      <c r="DC121" s="1">
        <f t="shared" si="62"/>
        <v>11049602.429999948</v>
      </c>
      <c r="DD121" s="1">
        <f t="shared" si="62"/>
        <v>0</v>
      </c>
      <c r="DE121" s="1">
        <f t="shared" si="62"/>
        <v>0</v>
      </c>
      <c r="DF121" s="1">
        <f t="shared" si="62"/>
        <v>0</v>
      </c>
      <c r="DH121" s="6">
        <f t="shared" si="33"/>
        <v>907372241.12</v>
      </c>
    </row>
    <row r="122" spans="1:112" x14ac:dyDescent="0.2">
      <c r="A122" s="5" t="s">
        <v>20</v>
      </c>
      <c r="B122" s="5" t="s">
        <v>5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>
        <v>3170000.75</v>
      </c>
      <c r="AY122" s="1">
        <v>4375315.8999999985</v>
      </c>
      <c r="AZ122" s="1">
        <v>955376.80000000075</v>
      </c>
      <c r="BA122" s="1">
        <v>3927572.91</v>
      </c>
      <c r="BB122" s="1">
        <v>2838500.7699999996</v>
      </c>
      <c r="BC122" s="1">
        <v>3077030.7299999967</v>
      </c>
      <c r="BD122" s="1">
        <v>1309833.9100000001</v>
      </c>
      <c r="BE122" s="1">
        <v>2026547.5300000012</v>
      </c>
      <c r="BF122" s="1">
        <v>3231851.34</v>
      </c>
      <c r="BG122" s="1">
        <v>6639776.25</v>
      </c>
      <c r="BH122" s="1">
        <v>5309435.9399999976</v>
      </c>
      <c r="BI122" s="1">
        <v>30620538.980000019</v>
      </c>
      <c r="BJ122" s="1">
        <v>85168804.069999993</v>
      </c>
      <c r="BK122" s="1">
        <v>59601405.220000029</v>
      </c>
      <c r="BL122" s="1">
        <v>40214644.230000019</v>
      </c>
      <c r="BM122" s="1">
        <v>47548313.279999971</v>
      </c>
      <c r="BN122" s="1">
        <v>35644586.120000005</v>
      </c>
      <c r="BO122" s="1">
        <v>42742216.519999981</v>
      </c>
      <c r="BP122" s="1">
        <v>27077118.310000002</v>
      </c>
      <c r="BQ122" s="1">
        <v>28114520.689999998</v>
      </c>
      <c r="BR122" s="1">
        <v>24900637.150000006</v>
      </c>
      <c r="BS122" s="1">
        <v>45575923.480000019</v>
      </c>
      <c r="BT122" s="1">
        <v>58701909.9799999</v>
      </c>
      <c r="BU122" s="1">
        <v>41628982.319999993</v>
      </c>
      <c r="BV122" s="1">
        <v>62330932.23999995</v>
      </c>
      <c r="BW122" s="1">
        <v>80000651.649999917</v>
      </c>
      <c r="BX122" s="1">
        <v>43445464.139999866</v>
      </c>
      <c r="BY122" s="1">
        <v>45104095.939999998</v>
      </c>
      <c r="BZ122" s="1">
        <v>50420704.850000024</v>
      </c>
      <c r="CA122" s="1">
        <v>51065130.699999988</v>
      </c>
      <c r="CB122" s="1">
        <v>39668882.080000043</v>
      </c>
      <c r="CC122" s="1">
        <v>43764979.780000031</v>
      </c>
      <c r="CD122" s="1">
        <v>39249994.410000026</v>
      </c>
      <c r="CE122" s="1">
        <v>65431799.719999969</v>
      </c>
      <c r="CF122" s="1">
        <v>49601687.079999924</v>
      </c>
      <c r="CG122" s="1">
        <v>82338594.969999909</v>
      </c>
      <c r="CH122" s="1">
        <v>45622988.490000129</v>
      </c>
      <c r="CI122" s="1">
        <v>82095603.949999988</v>
      </c>
      <c r="CJ122" s="1">
        <v>59974565.390000045</v>
      </c>
      <c r="CK122" s="1">
        <v>47851961.470000148</v>
      </c>
      <c r="CL122" s="1">
        <v>59168444.279999912</v>
      </c>
      <c r="CM122" s="1">
        <v>66309912.429999948</v>
      </c>
      <c r="CN122" s="1">
        <v>57109737.620000064</v>
      </c>
      <c r="CO122" s="1">
        <v>44560773.75</v>
      </c>
      <c r="CP122" s="1">
        <v>52459099.509999931</v>
      </c>
      <c r="CQ122" s="1">
        <v>73060037.909999967</v>
      </c>
      <c r="CR122" s="1">
        <v>72725354.730000138</v>
      </c>
      <c r="CS122" s="1">
        <v>97285183.550000191</v>
      </c>
      <c r="CT122" s="1">
        <v>80605964.470000029</v>
      </c>
      <c r="CU122" s="1">
        <v>76714084.340000033</v>
      </c>
      <c r="CV122" s="1">
        <v>51060698.200000048</v>
      </c>
      <c r="CW122" s="1">
        <v>62719752.899999857</v>
      </c>
      <c r="CX122" s="1">
        <v>63090463.109999955</v>
      </c>
      <c r="CY122" s="1">
        <v>65773620.600000083</v>
      </c>
      <c r="CZ122" s="1">
        <v>54572284.600000024</v>
      </c>
      <c r="DA122" s="1">
        <v>55534595.50999999</v>
      </c>
      <c r="DB122" s="1">
        <v>45254259.590000033</v>
      </c>
      <c r="DC122" s="1">
        <v>58454385.269999743</v>
      </c>
      <c r="DD122" s="1">
        <v>0</v>
      </c>
      <c r="DE122" s="1">
        <v>0</v>
      </c>
      <c r="DF122" s="1">
        <v>0</v>
      </c>
      <c r="DH122" s="6">
        <f t="shared" si="33"/>
        <v>2628827532.4099998</v>
      </c>
    </row>
    <row r="123" spans="1:112" x14ac:dyDescent="0.2">
      <c r="A123" s="5" t="s">
        <v>20</v>
      </c>
      <c r="B123" s="5" t="s">
        <v>44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>
        <v>25868463.430000037</v>
      </c>
      <c r="BJ123" s="1">
        <v>82303509.25999999</v>
      </c>
      <c r="BK123" s="1">
        <v>58039366.420000017</v>
      </c>
      <c r="BL123" s="1">
        <v>39669173.689999998</v>
      </c>
      <c r="BM123" s="1">
        <v>46374473.689999998</v>
      </c>
      <c r="BN123" s="1">
        <v>34760798.220000029</v>
      </c>
      <c r="BO123" s="1">
        <v>41157072.73999998</v>
      </c>
      <c r="BP123" s="1">
        <v>26443217.26000002</v>
      </c>
      <c r="BQ123" s="1">
        <v>26542297.439999998</v>
      </c>
      <c r="BR123" s="1">
        <v>24426295.219999999</v>
      </c>
      <c r="BS123" s="1">
        <v>43012015.289999962</v>
      </c>
      <c r="BT123" s="1">
        <v>56727273.499999881</v>
      </c>
      <c r="BU123" s="1">
        <v>40497368.639999986</v>
      </c>
      <c r="BV123" s="1">
        <v>60067863.910000026</v>
      </c>
      <c r="BW123" s="1">
        <v>78272879.169999957</v>
      </c>
      <c r="BX123" s="1">
        <v>42932721.219999909</v>
      </c>
      <c r="BY123" s="1">
        <v>43991942.619999945</v>
      </c>
      <c r="BZ123" s="1">
        <v>50091509.889999986</v>
      </c>
      <c r="CA123" s="1">
        <v>49916379.730000019</v>
      </c>
      <c r="CB123" s="1">
        <v>39244513.129999995</v>
      </c>
      <c r="CC123" s="1">
        <v>42493669.230000019</v>
      </c>
      <c r="CD123" s="1">
        <v>38069198.610000014</v>
      </c>
      <c r="CE123" s="1">
        <v>63460200.75999999</v>
      </c>
      <c r="CF123" s="1">
        <v>49714570.9799999</v>
      </c>
      <c r="CG123" s="1">
        <v>80428100.73999989</v>
      </c>
      <c r="CH123" s="1">
        <v>46397055.330000162</v>
      </c>
      <c r="CI123" s="1">
        <v>80557760.460000038</v>
      </c>
      <c r="CJ123" s="1">
        <v>59221039.839999914</v>
      </c>
      <c r="CK123" s="1">
        <v>47487342.440000117</v>
      </c>
      <c r="CL123" s="1">
        <v>58812847.599999905</v>
      </c>
      <c r="CM123" s="1">
        <v>64759984.899999917</v>
      </c>
      <c r="CN123" s="1">
        <v>56154029.880000114</v>
      </c>
      <c r="CO123" s="1">
        <v>43697232.180000007</v>
      </c>
      <c r="CP123" s="1">
        <v>51071774.899999917</v>
      </c>
      <c r="CQ123" s="1">
        <v>70903091.980000019</v>
      </c>
      <c r="CR123" s="1">
        <v>71114675.530000091</v>
      </c>
      <c r="CS123" s="1">
        <v>95747142.28000021</v>
      </c>
      <c r="CT123" s="1">
        <v>79378670.549999952</v>
      </c>
      <c r="CU123" s="1">
        <v>75769474.820000052</v>
      </c>
      <c r="CV123" s="1">
        <v>50523725.139999986</v>
      </c>
      <c r="CW123" s="1">
        <v>61972348.209999859</v>
      </c>
      <c r="CX123" s="1">
        <v>62126271.149999917</v>
      </c>
      <c r="CY123" s="1">
        <v>65190024.490000129</v>
      </c>
      <c r="CZ123" s="1">
        <v>54353594.070000052</v>
      </c>
      <c r="DA123" s="1">
        <v>54897292.689999998</v>
      </c>
      <c r="DB123" s="1">
        <v>44667558.070000052</v>
      </c>
      <c r="DC123" s="1">
        <v>56648871.4599998</v>
      </c>
      <c r="DD123" s="1">
        <v>0</v>
      </c>
      <c r="DE123" s="1">
        <v>0</v>
      </c>
      <c r="DF123" s="1">
        <v>0</v>
      </c>
      <c r="DH123" s="6">
        <f t="shared" si="33"/>
        <v>2535956682.7600002</v>
      </c>
    </row>
    <row r="124" spans="1:112" x14ac:dyDescent="0.2">
      <c r="A124" s="5" t="s">
        <v>20</v>
      </c>
      <c r="B124" s="5" t="s">
        <v>45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>
        <f t="shared" ref="AX124:DF124" si="63">AX122-AX123</f>
        <v>3170000.75</v>
      </c>
      <c r="AY124" s="1">
        <f t="shared" si="63"/>
        <v>4375315.8999999985</v>
      </c>
      <c r="AZ124" s="1">
        <f t="shared" si="63"/>
        <v>955376.80000000075</v>
      </c>
      <c r="BA124" s="1">
        <f t="shared" si="63"/>
        <v>3927572.91</v>
      </c>
      <c r="BB124" s="1">
        <f t="shared" si="63"/>
        <v>2838500.7699999996</v>
      </c>
      <c r="BC124" s="1">
        <f t="shared" si="63"/>
        <v>3077030.7299999967</v>
      </c>
      <c r="BD124" s="1">
        <f t="shared" si="63"/>
        <v>1309833.9100000001</v>
      </c>
      <c r="BE124" s="1">
        <f t="shared" si="63"/>
        <v>2026547.5300000012</v>
      </c>
      <c r="BF124" s="1">
        <f t="shared" si="63"/>
        <v>3231851.34</v>
      </c>
      <c r="BG124" s="1">
        <f t="shared" si="63"/>
        <v>6639776.25</v>
      </c>
      <c r="BH124" s="1">
        <f t="shared" si="63"/>
        <v>5309435.9399999976</v>
      </c>
      <c r="BI124" s="1">
        <f t="shared" si="63"/>
        <v>4752075.5499999821</v>
      </c>
      <c r="BJ124" s="1">
        <f t="shared" si="63"/>
        <v>2865294.8100000024</v>
      </c>
      <c r="BK124" s="1">
        <f t="shared" si="63"/>
        <v>1562038.8000000119</v>
      </c>
      <c r="BL124" s="1">
        <f t="shared" si="63"/>
        <v>545470.54000002146</v>
      </c>
      <c r="BM124" s="1">
        <f t="shared" si="63"/>
        <v>1173839.5899999738</v>
      </c>
      <c r="BN124" s="1">
        <f t="shared" si="63"/>
        <v>883787.89999997616</v>
      </c>
      <c r="BO124" s="1">
        <f t="shared" si="63"/>
        <v>1585143.7800000012</v>
      </c>
      <c r="BP124" s="1">
        <f t="shared" si="63"/>
        <v>633901.04999998212</v>
      </c>
      <c r="BQ124" s="1">
        <f t="shared" si="63"/>
        <v>1572223.25</v>
      </c>
      <c r="BR124" s="1">
        <f t="shared" si="63"/>
        <v>474341.93000000715</v>
      </c>
      <c r="BS124" s="1">
        <f t="shared" si="63"/>
        <v>2563908.1900000572</v>
      </c>
      <c r="BT124" s="1">
        <f t="shared" si="63"/>
        <v>1974636.4800000191</v>
      </c>
      <c r="BU124" s="1">
        <f t="shared" si="63"/>
        <v>1131613.6800000072</v>
      </c>
      <c r="BV124" s="1">
        <f t="shared" si="63"/>
        <v>2263068.3299999237</v>
      </c>
      <c r="BW124" s="1">
        <f t="shared" si="63"/>
        <v>1727772.4799999595</v>
      </c>
      <c r="BX124" s="1">
        <f t="shared" si="63"/>
        <v>512742.91999995708</v>
      </c>
      <c r="BY124" s="1">
        <f t="shared" si="63"/>
        <v>1112153.3200000525</v>
      </c>
      <c r="BZ124" s="1">
        <f t="shared" si="63"/>
        <v>329194.96000003815</v>
      </c>
      <c r="CA124" s="1">
        <f t="shared" si="63"/>
        <v>1148750.969999969</v>
      </c>
      <c r="CB124" s="1">
        <f t="shared" si="63"/>
        <v>424368.95000004768</v>
      </c>
      <c r="CC124" s="1">
        <f t="shared" si="63"/>
        <v>1271310.5500000119</v>
      </c>
      <c r="CD124" s="1">
        <f t="shared" si="63"/>
        <v>1180795.8000000119</v>
      </c>
      <c r="CE124" s="1">
        <f t="shared" si="63"/>
        <v>1971598.9599999785</v>
      </c>
      <c r="CF124" s="1">
        <f t="shared" si="63"/>
        <v>-112883.89999997616</v>
      </c>
      <c r="CG124" s="1">
        <f t="shared" si="63"/>
        <v>1910494.2300000191</v>
      </c>
      <c r="CH124" s="1">
        <f t="shared" si="63"/>
        <v>-774066.84000003338</v>
      </c>
      <c r="CI124" s="1">
        <f t="shared" si="63"/>
        <v>1537843.4899999499</v>
      </c>
      <c r="CJ124" s="1">
        <f t="shared" si="63"/>
        <v>753525.55000013113</v>
      </c>
      <c r="CK124" s="1">
        <f t="shared" si="63"/>
        <v>364619.03000003099</v>
      </c>
      <c r="CL124" s="1">
        <f t="shared" si="63"/>
        <v>355596.68000000715</v>
      </c>
      <c r="CM124" s="1">
        <f t="shared" si="63"/>
        <v>1549927.530000031</v>
      </c>
      <c r="CN124" s="1">
        <f t="shared" si="63"/>
        <v>955707.73999994993</v>
      </c>
      <c r="CO124" s="1">
        <f t="shared" si="63"/>
        <v>863541.56999999285</v>
      </c>
      <c r="CP124" s="1">
        <f t="shared" si="63"/>
        <v>1387324.6100000143</v>
      </c>
      <c r="CQ124" s="1">
        <f t="shared" si="63"/>
        <v>2156945.9299999475</v>
      </c>
      <c r="CR124" s="1">
        <f t="shared" si="63"/>
        <v>1610679.2000000477</v>
      </c>
      <c r="CS124" s="1">
        <f t="shared" si="63"/>
        <v>1538041.2699999809</v>
      </c>
      <c r="CT124" s="1">
        <f t="shared" si="63"/>
        <v>1227293.9200000763</v>
      </c>
      <c r="CU124" s="1">
        <f t="shared" si="63"/>
        <v>944609.51999998093</v>
      </c>
      <c r="CV124" s="1">
        <f t="shared" si="63"/>
        <v>536973.06000006199</v>
      </c>
      <c r="CW124" s="1">
        <f t="shared" si="63"/>
        <v>747404.68999999762</v>
      </c>
      <c r="CX124" s="1">
        <f t="shared" si="63"/>
        <v>964191.96000003815</v>
      </c>
      <c r="CY124" s="1">
        <f t="shared" si="63"/>
        <v>583596.1099999547</v>
      </c>
      <c r="CZ124" s="1">
        <f t="shared" si="63"/>
        <v>218690.52999997139</v>
      </c>
      <c r="DA124" s="1">
        <f t="shared" si="63"/>
        <v>637302.81999999285</v>
      </c>
      <c r="DB124" s="1">
        <f t="shared" si="63"/>
        <v>586701.51999998093</v>
      </c>
      <c r="DC124" s="1">
        <f t="shared" si="63"/>
        <v>1805513.8099999428</v>
      </c>
      <c r="DD124" s="1">
        <f t="shared" si="63"/>
        <v>0</v>
      </c>
      <c r="DE124" s="1">
        <f t="shared" si="63"/>
        <v>0</v>
      </c>
      <c r="DF124" s="1">
        <f t="shared" si="63"/>
        <v>0</v>
      </c>
      <c r="DH124" s="6">
        <f t="shared" si="33"/>
        <v>92870849.65000008</v>
      </c>
    </row>
    <row r="125" spans="1:112" x14ac:dyDescent="0.2">
      <c r="A125" s="5" t="s">
        <v>20</v>
      </c>
      <c r="B125" s="5" t="s">
        <v>6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>
        <v>3128646.666666667</v>
      </c>
      <c r="AY125" s="1">
        <v>4293988.8230000008</v>
      </c>
      <c r="AZ125" s="1">
        <v>897520.73333333328</v>
      </c>
      <c r="BA125" s="1">
        <v>3846791.0666666669</v>
      </c>
      <c r="BB125" s="1">
        <v>2772003.6</v>
      </c>
      <c r="BC125" s="1">
        <v>3019311.3953000004</v>
      </c>
      <c r="BD125" s="1">
        <v>1262155.8</v>
      </c>
      <c r="BE125" s="1">
        <v>1987848.5999999999</v>
      </c>
      <c r="BF125" s="1">
        <v>3185600.9333333336</v>
      </c>
      <c r="BG125" s="1">
        <v>6562053.0666666664</v>
      </c>
      <c r="BH125" s="1">
        <v>5210946.8666666672</v>
      </c>
      <c r="BI125" s="1">
        <v>4698183.7753999997</v>
      </c>
      <c r="BJ125" s="1">
        <v>2933619.3333333335</v>
      </c>
      <c r="BK125" s="1">
        <v>14097422.501249984</v>
      </c>
      <c r="BL125" s="1">
        <v>18645869.019574985</v>
      </c>
      <c r="BM125" s="1">
        <v>35400380.466666669</v>
      </c>
      <c r="BN125" s="1">
        <v>25764570.963450007</v>
      </c>
      <c r="BO125" s="1">
        <v>31004743.333333336</v>
      </c>
      <c r="BP125" s="1">
        <v>18900337.171274997</v>
      </c>
      <c r="BQ125" s="1">
        <v>22084218.985999994</v>
      </c>
      <c r="BR125" s="1">
        <v>17037803.666666668</v>
      </c>
      <c r="BS125" s="1">
        <v>21542849.133333337</v>
      </c>
      <c r="BT125" s="1">
        <v>38748301.181725033</v>
      </c>
      <c r="BU125" s="1">
        <v>21330194.400000002</v>
      </c>
      <c r="BV125" s="1">
        <v>43216018.200000003</v>
      </c>
      <c r="BW125" s="1">
        <v>54978978.317775033</v>
      </c>
      <c r="BX125" s="1">
        <v>28070076.045749985</v>
      </c>
      <c r="BY125" s="1">
        <v>32359902.933333337</v>
      </c>
      <c r="BZ125" s="1">
        <v>37909642.347050004</v>
      </c>
      <c r="CA125" s="1">
        <v>46608364.279049963</v>
      </c>
      <c r="CB125" s="1">
        <v>38190022.786449999</v>
      </c>
      <c r="CC125" s="1">
        <v>41693708.616075002</v>
      </c>
      <c r="CD125" s="1">
        <v>37228688.928474985</v>
      </c>
      <c r="CE125" s="1">
        <v>62530653.266666673</v>
      </c>
      <c r="CF125" s="1">
        <v>46998314.404624991</v>
      </c>
      <c r="CG125" s="1">
        <v>78653567.224225014</v>
      </c>
      <c r="CH125" s="1">
        <v>43405100.623199999</v>
      </c>
      <c r="CI125" s="1">
        <v>54964078.527199991</v>
      </c>
      <c r="CJ125" s="1">
        <v>42334492.333333336</v>
      </c>
      <c r="CK125" s="1">
        <v>29462686.630099971</v>
      </c>
      <c r="CL125" s="1">
        <v>42398893.461625002</v>
      </c>
      <c r="CM125" s="1">
        <v>51642419.573849991</v>
      </c>
      <c r="CN125" s="1">
        <v>46367417.551724985</v>
      </c>
      <c r="CO125" s="1">
        <v>36476350.889224991</v>
      </c>
      <c r="CP125" s="1">
        <v>45536709.7597</v>
      </c>
      <c r="CQ125" s="1">
        <v>67894918.818175003</v>
      </c>
      <c r="CR125" s="1">
        <v>70842686.772974968</v>
      </c>
      <c r="CS125" s="1">
        <v>95435698.611650035</v>
      </c>
      <c r="CT125" s="1">
        <v>78996190.947249979</v>
      </c>
      <c r="CU125" s="1">
        <v>54862716.86567498</v>
      </c>
      <c r="CV125" s="1">
        <v>36727332.715974949</v>
      </c>
      <c r="CW125" s="1">
        <v>44187792.9789</v>
      </c>
      <c r="CX125" s="1">
        <v>45933744.808550008</v>
      </c>
      <c r="CY125" s="1">
        <v>49647073.640149996</v>
      </c>
      <c r="CZ125" s="1">
        <v>38201925.67277503</v>
      </c>
      <c r="DA125" s="1">
        <v>42368424.287774988</v>
      </c>
      <c r="DB125" s="1">
        <v>35229563.317399971</v>
      </c>
      <c r="DC125" s="1">
        <v>45921613.810725026</v>
      </c>
      <c r="DD125" s="1">
        <v>0</v>
      </c>
      <c r="DE125" s="1">
        <v>0</v>
      </c>
      <c r="DF125" s="1">
        <v>0</v>
      </c>
      <c r="DH125" s="6">
        <f t="shared" si="33"/>
        <v>1955631131.4310501</v>
      </c>
    </row>
    <row r="126" spans="1:112" x14ac:dyDescent="0.2">
      <c r="A126" s="5" t="s">
        <v>20</v>
      </c>
      <c r="B126" s="5" t="s">
        <v>7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>
        <v>469297</v>
      </c>
      <c r="AY126" s="1">
        <v>644098.32345000003</v>
      </c>
      <c r="AZ126" s="1">
        <v>134628.10999999999</v>
      </c>
      <c r="BA126" s="1">
        <v>577018.66</v>
      </c>
      <c r="BB126" s="1">
        <v>415800.54</v>
      </c>
      <c r="BC126" s="1">
        <v>452896.70929500007</v>
      </c>
      <c r="BD126" s="1">
        <v>189323.37</v>
      </c>
      <c r="BE126" s="1">
        <v>298177.28999999998</v>
      </c>
      <c r="BF126" s="1">
        <v>477840.14</v>
      </c>
      <c r="BG126" s="1">
        <v>984307.96</v>
      </c>
      <c r="BH126" s="1">
        <v>781642.03</v>
      </c>
      <c r="BI126" s="1">
        <v>704727.56630999991</v>
      </c>
      <c r="BJ126" s="1">
        <v>440042.9</v>
      </c>
      <c r="BK126" s="1">
        <v>2114613.3751874976</v>
      </c>
      <c r="BL126" s="1">
        <v>2796880.3529362478</v>
      </c>
      <c r="BM126" s="1">
        <v>5310057.07</v>
      </c>
      <c r="BN126" s="1">
        <v>3864685.6445175009</v>
      </c>
      <c r="BO126" s="1">
        <v>4650711.5</v>
      </c>
      <c r="BP126" s="1">
        <v>2835050.5756912497</v>
      </c>
      <c r="BQ126" s="1">
        <v>3312632.847899999</v>
      </c>
      <c r="BR126" s="1">
        <v>2555670.5499999998</v>
      </c>
      <c r="BS126" s="1">
        <v>3231427.37</v>
      </c>
      <c r="BT126" s="1">
        <v>5812245.1772587541</v>
      </c>
      <c r="BU126" s="1">
        <v>3199529.16</v>
      </c>
      <c r="BV126" s="1">
        <v>6482402.7300000004</v>
      </c>
      <c r="BW126" s="1">
        <v>8246846.7476662546</v>
      </c>
      <c r="BX126" s="1">
        <v>4210511.4068624973</v>
      </c>
      <c r="BY126" s="1">
        <v>4853985.4400000004</v>
      </c>
      <c r="BZ126" s="1">
        <v>5686446.3520575007</v>
      </c>
      <c r="CA126" s="1">
        <v>6991254.6418574946</v>
      </c>
      <c r="CB126" s="1">
        <v>5728503.4179674992</v>
      </c>
      <c r="CC126" s="1">
        <v>6254056.2924112501</v>
      </c>
      <c r="CD126" s="1">
        <v>5584303.3392712474</v>
      </c>
      <c r="CE126" s="1">
        <v>9379597.9900000002</v>
      </c>
      <c r="CF126" s="1">
        <v>7049747.1606937479</v>
      </c>
      <c r="CG126" s="1">
        <v>11798035.083633751</v>
      </c>
      <c r="CH126" s="1">
        <v>6510765.0934799993</v>
      </c>
      <c r="CI126" s="1">
        <v>8244611.7790799988</v>
      </c>
      <c r="CJ126" s="1">
        <v>6350173.8499999996</v>
      </c>
      <c r="CK126" s="1">
        <v>4419402.9945149953</v>
      </c>
      <c r="CL126" s="1">
        <v>6359834.0192437498</v>
      </c>
      <c r="CM126" s="1">
        <v>7746362.9360774979</v>
      </c>
      <c r="CN126" s="1">
        <v>9226681.8667074963</v>
      </c>
      <c r="CO126" s="1">
        <v>7252318.1173787471</v>
      </c>
      <c r="CP126" s="1">
        <v>9039367.7366762459</v>
      </c>
      <c r="CQ126" s="1">
        <v>13473873.059950005</v>
      </c>
      <c r="CR126" s="1">
        <v>14090240.146354992</v>
      </c>
      <c r="CS126" s="1">
        <v>19012032.64727376</v>
      </c>
      <c r="CT126" s="1">
        <v>15736888.909211248</v>
      </c>
      <c r="CU126" s="1">
        <v>10928539.643696247</v>
      </c>
      <c r="CV126" s="1">
        <v>7318939.2000000002</v>
      </c>
      <c r="CW126" s="1">
        <v>8803180.2053575031</v>
      </c>
      <c r="CX126" s="1">
        <v>9140902.265143754</v>
      </c>
      <c r="CY126" s="1">
        <v>9899003.9396625012</v>
      </c>
      <c r="CZ126" s="1">
        <v>7623083.1220487542</v>
      </c>
      <c r="DA126" s="1">
        <v>8452763.4455612488</v>
      </c>
      <c r="DB126" s="1">
        <v>7018666.8667087443</v>
      </c>
      <c r="DC126" s="1">
        <v>8832094.1018600035</v>
      </c>
      <c r="DD126" s="1">
        <v>0</v>
      </c>
      <c r="DE126" s="1">
        <v>0</v>
      </c>
      <c r="DF126" s="1">
        <v>0</v>
      </c>
      <c r="DH126" s="6">
        <f t="shared" si="33"/>
        <v>333998720.77095497</v>
      </c>
    </row>
    <row r="127" spans="1:112" x14ac:dyDescent="0.2">
      <c r="A127" s="5" t="str">
        <f>A126</f>
        <v>MD</v>
      </c>
      <c r="B127" s="5" t="s">
        <v>41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>
        <v>41340.53</v>
      </c>
      <c r="AY127" s="1">
        <v>81327.076975000004</v>
      </c>
      <c r="AZ127" s="1">
        <v>61666.568775000007</v>
      </c>
      <c r="BA127" s="1">
        <v>80781.838824999999</v>
      </c>
      <c r="BB127" s="1">
        <v>66497.202499999999</v>
      </c>
      <c r="BC127" s="1">
        <v>57719.334700000007</v>
      </c>
      <c r="BD127" s="1">
        <v>47678.087550000004</v>
      </c>
      <c r="BE127" s="1">
        <v>38698.913475000001</v>
      </c>
      <c r="BF127" s="1">
        <v>46250.424600000006</v>
      </c>
      <c r="BG127" s="1">
        <v>77723.161074999996</v>
      </c>
      <c r="BH127" s="1">
        <v>98489.054150000011</v>
      </c>
      <c r="BI127" s="1">
        <v>64227621.609975003</v>
      </c>
      <c r="BJ127" s="1">
        <v>72201433.152199998</v>
      </c>
      <c r="BK127" s="1">
        <v>22847506.970975</v>
      </c>
      <c r="BL127" s="1">
        <v>16622104.436949998</v>
      </c>
      <c r="BM127" s="1">
        <v>12332697.75</v>
      </c>
      <c r="BN127" s="1">
        <v>9830636.3918750025</v>
      </c>
      <c r="BO127" s="1">
        <v>11690071.059999999</v>
      </c>
      <c r="BP127" s="1">
        <v>8376039.4662749991</v>
      </c>
      <c r="BQ127" s="1">
        <v>6245284.4853750002</v>
      </c>
      <c r="BR127" s="1">
        <v>8787320.3599999994</v>
      </c>
      <c r="BS127" s="1">
        <v>24943589.09</v>
      </c>
      <c r="BT127" s="1">
        <v>20361966.273225002</v>
      </c>
      <c r="BU127" s="1">
        <v>29998542.82</v>
      </c>
      <c r="BV127" s="1">
        <v>21128843.200000003</v>
      </c>
      <c r="BW127" s="1">
        <v>23699707.032175001</v>
      </c>
      <c r="BX127" s="1">
        <v>14485638.456425</v>
      </c>
      <c r="BY127" s="1">
        <v>12113511.322400002</v>
      </c>
      <c r="BZ127" s="1">
        <v>12268740.709124999</v>
      </c>
      <c r="CA127" s="1">
        <v>4244229.5368750002</v>
      </c>
      <c r="CB127" s="1">
        <v>1742674.060325</v>
      </c>
      <c r="CC127" s="1">
        <v>1811656.0539250001</v>
      </c>
      <c r="CD127" s="1">
        <v>2047735.4881</v>
      </c>
      <c r="CE127" s="1">
        <v>2939093.72</v>
      </c>
      <c r="CF127" s="1">
        <v>3096475.3545749998</v>
      </c>
      <c r="CG127" s="1">
        <v>3181916.7802999998</v>
      </c>
      <c r="CH127" s="1">
        <v>3470880.5592749999</v>
      </c>
      <c r="CI127" s="1">
        <v>26599463.686124999</v>
      </c>
      <c r="CJ127" s="1">
        <v>17361987.807124998</v>
      </c>
      <c r="CK127" s="1">
        <v>18596204.009074997</v>
      </c>
      <c r="CL127" s="1">
        <v>16884899.764400002</v>
      </c>
      <c r="CM127" s="1">
        <v>14254970.736150002</v>
      </c>
      <c r="CN127" s="1">
        <v>10752395.188275</v>
      </c>
      <c r="CO127" s="1">
        <v>8102881.9163999995</v>
      </c>
      <c r="CP127" s="1">
        <v>6923029.5402999995</v>
      </c>
      <c r="CQ127" s="1">
        <v>5159785.8718250003</v>
      </c>
      <c r="CR127" s="1">
        <v>1887162.1370250003</v>
      </c>
      <c r="CS127" s="1">
        <v>1876991.8695749999</v>
      </c>
      <c r="CT127" s="1">
        <v>1651614.0765250002</v>
      </c>
      <c r="CU127" s="1">
        <v>21834230.029150005</v>
      </c>
      <c r="CV127" s="1">
        <v>14358097.139999999</v>
      </c>
      <c r="CW127" s="1">
        <v>18514686.771099996</v>
      </c>
      <c r="CX127" s="1">
        <v>17150969.08145</v>
      </c>
      <c r="CY127" s="1">
        <v>16186777.97335</v>
      </c>
      <c r="CZ127" s="1">
        <v>16524159.207225002</v>
      </c>
      <c r="DA127" s="1">
        <v>12969881.985299999</v>
      </c>
      <c r="DB127" s="1">
        <v>10011120.3826</v>
      </c>
      <c r="DC127" s="1">
        <v>12530859.619275</v>
      </c>
      <c r="DD127" s="1">
        <v>0</v>
      </c>
      <c r="DE127" s="1">
        <v>0</v>
      </c>
      <c r="DF127" s="1">
        <v>0</v>
      </c>
      <c r="DH127" s="6">
        <f t="shared" si="33"/>
        <v>685526257.12522483</v>
      </c>
    </row>
    <row r="128" spans="1:112" x14ac:dyDescent="0.2">
      <c r="A128" s="5" t="s">
        <v>21</v>
      </c>
      <c r="B128" s="5" t="s">
        <v>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>
        <v>37605088.019999996</v>
      </c>
      <c r="BV128" s="1">
        <v>44486835.43</v>
      </c>
      <c r="BW128" s="1">
        <v>38133928.600000001</v>
      </c>
      <c r="BX128" s="1">
        <v>33725875.859999999</v>
      </c>
      <c r="BY128" s="1">
        <v>47556948.439999998</v>
      </c>
      <c r="BZ128" s="1">
        <v>38377182.649999999</v>
      </c>
      <c r="CA128" s="1">
        <v>39884764.289999999</v>
      </c>
      <c r="CB128" s="1">
        <v>39506937.519999996</v>
      </c>
      <c r="CC128" s="1">
        <v>42762344.710000001</v>
      </c>
      <c r="CD128" s="1">
        <v>35619698.799999997</v>
      </c>
      <c r="CE128" s="1">
        <v>51817669.460000001</v>
      </c>
      <c r="CF128" s="1">
        <v>52305632.309999995</v>
      </c>
      <c r="CG128" s="1">
        <v>51903970.399999999</v>
      </c>
      <c r="CH128" s="1">
        <v>52813494.990000002</v>
      </c>
      <c r="CI128" s="1">
        <v>50817780.369999997</v>
      </c>
      <c r="CJ128" s="1">
        <v>41382257.859999992</v>
      </c>
      <c r="CK128" s="1">
        <v>49504692.579999998</v>
      </c>
      <c r="CL128" s="1">
        <v>46448634.990000002</v>
      </c>
      <c r="CM128" s="1">
        <v>40358154.640000001</v>
      </c>
      <c r="CN128" s="1">
        <v>34711875.689999998</v>
      </c>
      <c r="CO128" s="1">
        <v>36756264.969999999</v>
      </c>
      <c r="CP128" s="1">
        <v>46145138.690000005</v>
      </c>
      <c r="CQ128" s="1">
        <v>63188387.490000002</v>
      </c>
      <c r="CR128" s="1">
        <v>62258546.589999996</v>
      </c>
      <c r="CS128" s="1">
        <v>63350069.839999996</v>
      </c>
      <c r="CT128" s="1">
        <v>66967815.740000002</v>
      </c>
      <c r="CU128" s="1">
        <v>60541264.32</v>
      </c>
      <c r="CV128" s="1">
        <v>41951202.479999997</v>
      </c>
      <c r="CW128" s="1">
        <v>53190133.789999999</v>
      </c>
      <c r="CX128" s="1">
        <v>46566804.400000006</v>
      </c>
      <c r="CY128" s="1">
        <v>40970519.450000003</v>
      </c>
      <c r="CZ128" s="1">
        <v>44843226.780000009</v>
      </c>
      <c r="DA128" s="1">
        <v>51823206.049999997</v>
      </c>
      <c r="DB128" s="1">
        <v>49301317.489999995</v>
      </c>
      <c r="DC128" s="1">
        <v>61048335.609999999</v>
      </c>
      <c r="DD128" s="1">
        <v>0</v>
      </c>
      <c r="DE128" s="1">
        <v>0</v>
      </c>
      <c r="DF128" s="1">
        <v>0</v>
      </c>
      <c r="DH128" s="6">
        <f t="shared" si="33"/>
        <v>1658626001.2999997</v>
      </c>
    </row>
    <row r="129" spans="1:112" x14ac:dyDescent="0.2">
      <c r="A129" s="5" t="s">
        <v>21</v>
      </c>
      <c r="B129" s="5" t="s">
        <v>42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>
        <v>37605088.019999996</v>
      </c>
      <c r="BV129" s="1">
        <v>44486835.43</v>
      </c>
      <c r="BW129" s="1">
        <v>38133928.600000001</v>
      </c>
      <c r="BX129" s="1">
        <v>33725875.859999999</v>
      </c>
      <c r="BY129" s="1">
        <v>47556948.439999998</v>
      </c>
      <c r="BZ129" s="1">
        <v>38377182.649999999</v>
      </c>
      <c r="CA129" s="1">
        <v>39884764.289999999</v>
      </c>
      <c r="CB129" s="1">
        <v>39506937.519999996</v>
      </c>
      <c r="CC129" s="1">
        <v>42762344.710000001</v>
      </c>
      <c r="CD129" s="1">
        <v>35619698.799999997</v>
      </c>
      <c r="CE129" s="1">
        <v>51659361.560000002</v>
      </c>
      <c r="CF129" s="1">
        <v>52018529.309999995</v>
      </c>
      <c r="CG129" s="1">
        <v>51431130</v>
      </c>
      <c r="CH129" s="1">
        <v>52361389.890000001</v>
      </c>
      <c r="CI129" s="1">
        <v>50368079.719999999</v>
      </c>
      <c r="CJ129" s="1">
        <v>41159367.709999993</v>
      </c>
      <c r="CK129" s="1">
        <v>49015085.219999999</v>
      </c>
      <c r="CL129" s="1">
        <v>46175010.310000002</v>
      </c>
      <c r="CM129" s="1">
        <v>40130569.030000001</v>
      </c>
      <c r="CN129" s="1">
        <v>34486917.339999996</v>
      </c>
      <c r="CO129" s="1">
        <v>36632773.68</v>
      </c>
      <c r="CP129" s="1">
        <v>45943502.590000004</v>
      </c>
      <c r="CQ129" s="1">
        <v>62748305.969999999</v>
      </c>
      <c r="CR129" s="1">
        <v>61656921.239999995</v>
      </c>
      <c r="CS129" s="1">
        <v>62344382.539999999</v>
      </c>
      <c r="CT129" s="1">
        <v>65838115.270000003</v>
      </c>
      <c r="CU129" s="1">
        <v>59567545.219999999</v>
      </c>
      <c r="CV129" s="1">
        <v>41459165.279999994</v>
      </c>
      <c r="CW129" s="1">
        <v>52725108.519999996</v>
      </c>
      <c r="CX129" s="1">
        <v>45848661.450000003</v>
      </c>
      <c r="CY129" s="1">
        <v>40372736.100000001</v>
      </c>
      <c r="CZ129" s="1">
        <v>44257381.940000005</v>
      </c>
      <c r="DA129" s="1">
        <v>51317342.809999995</v>
      </c>
      <c r="DB129" s="1">
        <v>48996211.349999994</v>
      </c>
      <c r="DC129" s="1">
        <v>59931538.82</v>
      </c>
      <c r="DD129" s="1">
        <v>0</v>
      </c>
      <c r="DE129" s="1">
        <v>0</v>
      </c>
      <c r="DF129" s="1">
        <v>0</v>
      </c>
      <c r="DH129" s="6">
        <f t="shared" si="33"/>
        <v>1646104737.1899998</v>
      </c>
    </row>
    <row r="130" spans="1:112" x14ac:dyDescent="0.2">
      <c r="A130" s="5" t="s">
        <v>21</v>
      </c>
      <c r="B130" s="5" t="s">
        <v>43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>
        <f t="shared" ref="BU130:DF130" si="64">BU128-BU129</f>
        <v>0</v>
      </c>
      <c r="BV130" s="1">
        <f t="shared" si="64"/>
        <v>0</v>
      </c>
      <c r="BW130" s="1">
        <f t="shared" si="64"/>
        <v>0</v>
      </c>
      <c r="BX130" s="1">
        <f t="shared" si="64"/>
        <v>0</v>
      </c>
      <c r="BY130" s="1">
        <f t="shared" si="64"/>
        <v>0</v>
      </c>
      <c r="BZ130" s="1">
        <f t="shared" si="64"/>
        <v>0</v>
      </c>
      <c r="CA130" s="1">
        <f t="shared" si="64"/>
        <v>0</v>
      </c>
      <c r="CB130" s="1">
        <f t="shared" si="64"/>
        <v>0</v>
      </c>
      <c r="CC130" s="1">
        <f t="shared" si="64"/>
        <v>0</v>
      </c>
      <c r="CD130" s="1">
        <f t="shared" si="64"/>
        <v>0</v>
      </c>
      <c r="CE130" s="1">
        <f t="shared" si="64"/>
        <v>158307.89999999851</v>
      </c>
      <c r="CF130" s="1">
        <f t="shared" si="64"/>
        <v>287103</v>
      </c>
      <c r="CG130" s="1">
        <f t="shared" si="64"/>
        <v>472840.39999999851</v>
      </c>
      <c r="CH130" s="1">
        <f t="shared" si="64"/>
        <v>452105.10000000149</v>
      </c>
      <c r="CI130" s="1">
        <f t="shared" si="64"/>
        <v>449700.64999999851</v>
      </c>
      <c r="CJ130" s="1">
        <f t="shared" si="64"/>
        <v>222890.14999999851</v>
      </c>
      <c r="CK130" s="1">
        <f t="shared" si="64"/>
        <v>489607.3599999994</v>
      </c>
      <c r="CL130" s="1">
        <f t="shared" si="64"/>
        <v>273624.6799999997</v>
      </c>
      <c r="CM130" s="1">
        <f t="shared" si="64"/>
        <v>227585.6099999994</v>
      </c>
      <c r="CN130" s="1">
        <f t="shared" si="64"/>
        <v>224958.35000000149</v>
      </c>
      <c r="CO130" s="1">
        <f t="shared" si="64"/>
        <v>123491.28999999911</v>
      </c>
      <c r="CP130" s="1">
        <f t="shared" si="64"/>
        <v>201636.10000000149</v>
      </c>
      <c r="CQ130" s="1">
        <f t="shared" si="64"/>
        <v>440081.52000000328</v>
      </c>
      <c r="CR130" s="1">
        <f t="shared" si="64"/>
        <v>601625.35000000149</v>
      </c>
      <c r="CS130" s="1">
        <f t="shared" si="64"/>
        <v>1005687.299999997</v>
      </c>
      <c r="CT130" s="1">
        <f t="shared" si="64"/>
        <v>1129700.4699999988</v>
      </c>
      <c r="CU130" s="1">
        <f t="shared" si="64"/>
        <v>973719.10000000149</v>
      </c>
      <c r="CV130" s="1">
        <f t="shared" si="64"/>
        <v>492037.20000000298</v>
      </c>
      <c r="CW130" s="1">
        <f t="shared" si="64"/>
        <v>465025.27000000328</v>
      </c>
      <c r="CX130" s="1">
        <f t="shared" si="64"/>
        <v>718142.95000000298</v>
      </c>
      <c r="CY130" s="1">
        <f t="shared" si="64"/>
        <v>597783.35000000149</v>
      </c>
      <c r="CZ130" s="1">
        <f t="shared" si="64"/>
        <v>585844.84000000358</v>
      </c>
      <c r="DA130" s="1">
        <f t="shared" si="64"/>
        <v>505863.24000000209</v>
      </c>
      <c r="DB130" s="1">
        <f t="shared" si="64"/>
        <v>305106.1400000006</v>
      </c>
      <c r="DC130" s="1">
        <f t="shared" si="64"/>
        <v>1116796.7899999991</v>
      </c>
      <c r="DD130" s="1">
        <f t="shared" si="64"/>
        <v>0</v>
      </c>
      <c r="DE130" s="1">
        <f t="shared" si="64"/>
        <v>0</v>
      </c>
      <c r="DF130" s="1">
        <f t="shared" si="64"/>
        <v>0</v>
      </c>
      <c r="DH130" s="6">
        <f t="shared" ref="DH130:DH193" si="65">SUM(C130:DF130)</f>
        <v>12521264.110000014</v>
      </c>
    </row>
    <row r="131" spans="1:112" x14ac:dyDescent="0.2">
      <c r="A131" s="5" t="s">
        <v>21</v>
      </c>
      <c r="B131" s="5" t="s">
        <v>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>
        <v>4723855.0199999958</v>
      </c>
      <c r="BV131" s="1">
        <v>4486320.6199999973</v>
      </c>
      <c r="BW131" s="1">
        <v>5553603.4100000039</v>
      </c>
      <c r="BX131" s="1">
        <v>4336678.5799999982</v>
      </c>
      <c r="BY131" s="1">
        <v>2822506.8900000006</v>
      </c>
      <c r="BZ131" s="1">
        <v>4236887.1399999931</v>
      </c>
      <c r="CA131" s="1">
        <v>3409575.0399999991</v>
      </c>
      <c r="CB131" s="1">
        <v>3521324.8800000027</v>
      </c>
      <c r="CC131" s="1">
        <v>6136157.4700000063</v>
      </c>
      <c r="CD131" s="1">
        <v>3642238.3399999961</v>
      </c>
      <c r="CE131" s="1">
        <v>6795337.9099999992</v>
      </c>
      <c r="CF131" s="1">
        <v>3968996.7399999946</v>
      </c>
      <c r="CG131" s="1">
        <v>8129416.6499999966</v>
      </c>
      <c r="CH131" s="1">
        <v>4078113.9700000077</v>
      </c>
      <c r="CI131" s="1">
        <v>7116610.0599999949</v>
      </c>
      <c r="CJ131" s="1">
        <v>5328498.0299999937</v>
      </c>
      <c r="CK131" s="1">
        <v>4264542.4700000007</v>
      </c>
      <c r="CL131" s="1">
        <v>5728274.3100000024</v>
      </c>
      <c r="CM131" s="1">
        <v>5284046.9900000012</v>
      </c>
      <c r="CN131" s="1">
        <v>4568683.8499999959</v>
      </c>
      <c r="CO131" s="1">
        <v>3673609.6200000029</v>
      </c>
      <c r="CP131" s="1">
        <v>5314553.5800000057</v>
      </c>
      <c r="CQ131" s="1">
        <v>4797155.959999999</v>
      </c>
      <c r="CR131" s="1">
        <v>6631112.379999998</v>
      </c>
      <c r="CS131" s="1">
        <v>8152129.6399999978</v>
      </c>
      <c r="CT131" s="1">
        <v>7337652.6800000062</v>
      </c>
      <c r="CU131" s="1">
        <v>7193934.8399999952</v>
      </c>
      <c r="CV131" s="1">
        <v>5349640.4999999916</v>
      </c>
      <c r="CW131" s="1">
        <v>5827491.9199999971</v>
      </c>
      <c r="CX131" s="1">
        <v>5443827.1300000083</v>
      </c>
      <c r="CY131" s="1">
        <v>4932859.4600000018</v>
      </c>
      <c r="CZ131" s="1">
        <v>4866169.9400000013</v>
      </c>
      <c r="DA131" s="1">
        <v>5827097.1199999964</v>
      </c>
      <c r="DB131" s="1">
        <v>4032532.9999999912</v>
      </c>
      <c r="DC131" s="1">
        <v>6490294.4700000007</v>
      </c>
      <c r="DD131" s="1">
        <v>0</v>
      </c>
      <c r="DE131" s="1">
        <v>0</v>
      </c>
      <c r="DF131" s="1">
        <v>0</v>
      </c>
      <c r="DH131" s="6">
        <f t="shared" si="65"/>
        <v>184001730.60999995</v>
      </c>
    </row>
    <row r="132" spans="1:112" x14ac:dyDescent="0.2">
      <c r="A132" s="5" t="s">
        <v>21</v>
      </c>
      <c r="B132" s="5" t="s">
        <v>44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>
        <v>4723855.0199999958</v>
      </c>
      <c r="BV132" s="1">
        <v>4486320.6199999973</v>
      </c>
      <c r="BW132" s="1">
        <v>5553603.4100000039</v>
      </c>
      <c r="BX132" s="1">
        <v>4336678.5799999982</v>
      </c>
      <c r="BY132" s="1">
        <v>2822506.8900000006</v>
      </c>
      <c r="BZ132" s="1">
        <v>4236887.1399999931</v>
      </c>
      <c r="CA132" s="1">
        <v>3409575.0399999991</v>
      </c>
      <c r="CB132" s="1">
        <v>3521324.8800000027</v>
      </c>
      <c r="CC132" s="1">
        <v>6136157.4700000063</v>
      </c>
      <c r="CD132" s="1">
        <v>3642238.3399999961</v>
      </c>
      <c r="CE132" s="1">
        <v>6766613.8599999994</v>
      </c>
      <c r="CF132" s="1">
        <v>3908777.7399999946</v>
      </c>
      <c r="CG132" s="1">
        <v>8028814.7299999967</v>
      </c>
      <c r="CH132" s="1">
        <v>4090876.0700000077</v>
      </c>
      <c r="CI132" s="1">
        <v>7104633.3099999949</v>
      </c>
      <c r="CJ132" s="1">
        <v>5349224.0299999937</v>
      </c>
      <c r="CK132" s="1">
        <v>4267430.4600000009</v>
      </c>
      <c r="CL132" s="1">
        <v>5663004.1300000027</v>
      </c>
      <c r="CM132" s="1">
        <v>5249531.7800000012</v>
      </c>
      <c r="CN132" s="1">
        <v>4544326.6999999955</v>
      </c>
      <c r="CO132" s="1">
        <v>3652499.6300000027</v>
      </c>
      <c r="CP132" s="1">
        <v>5253543.8300000057</v>
      </c>
      <c r="CQ132" s="1">
        <v>4756090.5399999991</v>
      </c>
      <c r="CR132" s="1">
        <v>6611875.0799999982</v>
      </c>
      <c r="CS132" s="1">
        <v>8147855.6899999976</v>
      </c>
      <c r="CT132" s="1">
        <v>7253754.900000006</v>
      </c>
      <c r="CU132" s="1">
        <v>7090067.5599999949</v>
      </c>
      <c r="CV132" s="1">
        <v>5292207.9699999914</v>
      </c>
      <c r="CW132" s="1">
        <v>5797727.8699999973</v>
      </c>
      <c r="CX132" s="1">
        <v>5429519.4600000083</v>
      </c>
      <c r="CY132" s="1">
        <v>4864662.4900000021</v>
      </c>
      <c r="CZ132" s="1">
        <v>4848217.6700000018</v>
      </c>
      <c r="DA132" s="1">
        <v>5735163.2299999967</v>
      </c>
      <c r="DB132" s="1">
        <v>3983495.8999999911</v>
      </c>
      <c r="DC132" s="1">
        <v>6369969.1400000006</v>
      </c>
      <c r="DD132" s="1">
        <v>0</v>
      </c>
      <c r="DE132" s="1">
        <v>0</v>
      </c>
      <c r="DF132" s="1">
        <v>0</v>
      </c>
      <c r="DH132" s="6">
        <f t="shared" si="65"/>
        <v>182929031.15999997</v>
      </c>
    </row>
    <row r="133" spans="1:112" x14ac:dyDescent="0.2">
      <c r="A133" s="5" t="s">
        <v>21</v>
      </c>
      <c r="B133" s="5" t="s">
        <v>45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>
        <f t="shared" ref="BU133:DF133" si="66">BU131-BU132</f>
        <v>0</v>
      </c>
      <c r="BV133" s="1">
        <f t="shared" si="66"/>
        <v>0</v>
      </c>
      <c r="BW133" s="1">
        <f t="shared" si="66"/>
        <v>0</v>
      </c>
      <c r="BX133" s="1">
        <f t="shared" si="66"/>
        <v>0</v>
      </c>
      <c r="BY133" s="1">
        <f t="shared" si="66"/>
        <v>0</v>
      </c>
      <c r="BZ133" s="1">
        <f t="shared" si="66"/>
        <v>0</v>
      </c>
      <c r="CA133" s="1">
        <f t="shared" si="66"/>
        <v>0</v>
      </c>
      <c r="CB133" s="1">
        <f t="shared" si="66"/>
        <v>0</v>
      </c>
      <c r="CC133" s="1">
        <f t="shared" si="66"/>
        <v>0</v>
      </c>
      <c r="CD133" s="1">
        <f t="shared" si="66"/>
        <v>0</v>
      </c>
      <c r="CE133" s="1">
        <f t="shared" si="66"/>
        <v>28724.049999999814</v>
      </c>
      <c r="CF133" s="1">
        <f t="shared" si="66"/>
        <v>60219</v>
      </c>
      <c r="CG133" s="1">
        <f t="shared" si="66"/>
        <v>100601.91999999993</v>
      </c>
      <c r="CH133" s="1">
        <f t="shared" si="66"/>
        <v>-12762.100000000093</v>
      </c>
      <c r="CI133" s="1">
        <f t="shared" si="66"/>
        <v>11976.75</v>
      </c>
      <c r="CJ133" s="1">
        <f t="shared" si="66"/>
        <v>-20726</v>
      </c>
      <c r="CK133" s="1">
        <f t="shared" si="66"/>
        <v>-2887.9900000002235</v>
      </c>
      <c r="CL133" s="1">
        <f t="shared" si="66"/>
        <v>65270.179999999702</v>
      </c>
      <c r="CM133" s="1">
        <f t="shared" si="66"/>
        <v>34515.209999999963</v>
      </c>
      <c r="CN133" s="1">
        <f t="shared" si="66"/>
        <v>24357.150000000373</v>
      </c>
      <c r="CO133" s="1">
        <f t="shared" si="66"/>
        <v>21109.990000000224</v>
      </c>
      <c r="CP133" s="1">
        <f t="shared" si="66"/>
        <v>61009.75</v>
      </c>
      <c r="CQ133" s="1">
        <f t="shared" si="66"/>
        <v>41065.419999999925</v>
      </c>
      <c r="CR133" s="1">
        <f t="shared" si="66"/>
        <v>19237.299999999814</v>
      </c>
      <c r="CS133" s="1">
        <f t="shared" si="66"/>
        <v>4273.9500000001863</v>
      </c>
      <c r="CT133" s="1">
        <f t="shared" si="66"/>
        <v>83897.780000000261</v>
      </c>
      <c r="CU133" s="1">
        <f t="shared" si="66"/>
        <v>103867.28000000026</v>
      </c>
      <c r="CV133" s="1">
        <f t="shared" si="66"/>
        <v>57432.530000000261</v>
      </c>
      <c r="CW133" s="1">
        <f t="shared" si="66"/>
        <v>29764.049999999814</v>
      </c>
      <c r="CX133" s="1">
        <f t="shared" si="66"/>
        <v>14307.669999999925</v>
      </c>
      <c r="CY133" s="1">
        <f t="shared" si="66"/>
        <v>68196.969999999739</v>
      </c>
      <c r="CZ133" s="1">
        <f t="shared" si="66"/>
        <v>17952.269999999553</v>
      </c>
      <c r="DA133" s="1">
        <f t="shared" si="66"/>
        <v>91933.889999999665</v>
      </c>
      <c r="DB133" s="1">
        <f t="shared" si="66"/>
        <v>49037.100000000093</v>
      </c>
      <c r="DC133" s="1">
        <f t="shared" si="66"/>
        <v>120325.33000000007</v>
      </c>
      <c r="DD133" s="1">
        <f t="shared" si="66"/>
        <v>0</v>
      </c>
      <c r="DE133" s="1">
        <f t="shared" si="66"/>
        <v>0</v>
      </c>
      <c r="DF133" s="1">
        <f t="shared" si="66"/>
        <v>0</v>
      </c>
      <c r="DH133" s="6">
        <f t="shared" si="65"/>
        <v>1072699.4499999993</v>
      </c>
    </row>
    <row r="134" spans="1:112" x14ac:dyDescent="0.2">
      <c r="A134" s="5" t="s">
        <v>21</v>
      </c>
      <c r="B134" s="5" t="s">
        <v>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>
        <v>4641512.719999996</v>
      </c>
      <c r="BV134" s="1">
        <v>4378841.8199999975</v>
      </c>
      <c r="BW134" s="1">
        <v>5461491.4900000039</v>
      </c>
      <c r="BX134" s="1">
        <v>4256021.2099999981</v>
      </c>
      <c r="BY134" s="1">
        <v>2706066.6100000008</v>
      </c>
      <c r="BZ134" s="1">
        <v>4143561.0899999933</v>
      </c>
      <c r="CA134" s="1">
        <v>3312783.4999999991</v>
      </c>
      <c r="CB134" s="1">
        <v>3425134.3400000026</v>
      </c>
      <c r="CC134" s="1">
        <v>6032843.5700000059</v>
      </c>
      <c r="CD134" s="1">
        <v>3555762.7899999963</v>
      </c>
      <c r="CE134" s="1">
        <v>6671880.8599999994</v>
      </c>
      <c r="CF134" s="1">
        <v>3842048.1699999943</v>
      </c>
      <c r="CG134" s="1">
        <v>8003589.6499999966</v>
      </c>
      <c r="CH134" s="1">
        <v>3949314.1500000074</v>
      </c>
      <c r="CI134" s="1">
        <v>6993415.0799999954</v>
      </c>
      <c r="CJ134" s="1">
        <v>5228946.9499999937</v>
      </c>
      <c r="CK134" s="1">
        <v>4143938.2100000009</v>
      </c>
      <c r="CL134" s="1">
        <v>5615718.0400000028</v>
      </c>
      <c r="CM134" s="1">
        <v>5185612.2300000014</v>
      </c>
      <c r="CN134" s="1">
        <v>4484256.6099999947</v>
      </c>
      <c r="CO134" s="1">
        <v>3584175.7400000026</v>
      </c>
      <c r="CP134" s="1">
        <v>5203152.1100000059</v>
      </c>
      <c r="CQ134" s="1">
        <v>4644659.2799999993</v>
      </c>
      <c r="CR134" s="1">
        <v>6478902.8699999982</v>
      </c>
      <c r="CS134" s="1">
        <v>7995809.0099999979</v>
      </c>
      <c r="CT134" s="1">
        <v>7173296.6300000064</v>
      </c>
      <c r="CU134" s="1">
        <v>7045894.9799999949</v>
      </c>
      <c r="CV134" s="1">
        <v>5247376.0799999908</v>
      </c>
      <c r="CW134" s="1">
        <v>5697150.9799999977</v>
      </c>
      <c r="CX134" s="1">
        <v>5330179.3000000082</v>
      </c>
      <c r="CY134" s="1">
        <v>4832747.4000000022</v>
      </c>
      <c r="CZ134" s="1">
        <v>4757175.6000000024</v>
      </c>
      <c r="DA134" s="1">
        <v>5701045.3799999971</v>
      </c>
      <c r="DB134" s="1">
        <v>3912444.4999999912</v>
      </c>
      <c r="DC134" s="1">
        <v>6342222.4900000002</v>
      </c>
      <c r="DD134" s="1">
        <v>0</v>
      </c>
      <c r="DE134" s="1">
        <v>0</v>
      </c>
      <c r="DF134" s="1">
        <v>0</v>
      </c>
      <c r="DH134" s="6">
        <f t="shared" si="65"/>
        <v>179978971.44</v>
      </c>
    </row>
    <row r="135" spans="1:112" x14ac:dyDescent="0.2">
      <c r="A135" s="5" t="s">
        <v>21</v>
      </c>
      <c r="B135" s="5" t="s">
        <v>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>
        <v>464151.26999999996</v>
      </c>
      <c r="BV135" s="1">
        <v>437884.18</v>
      </c>
      <c r="BW135" s="1">
        <v>546149.15</v>
      </c>
      <c r="BX135" s="1">
        <v>425602.12</v>
      </c>
      <c r="BY135" s="1">
        <v>270606.66000000003</v>
      </c>
      <c r="BZ135" s="1">
        <v>414356.11</v>
      </c>
      <c r="CA135" s="1">
        <v>331278.33999999997</v>
      </c>
      <c r="CB135" s="1">
        <v>342513.44</v>
      </c>
      <c r="CC135" s="1">
        <v>603284.36</v>
      </c>
      <c r="CD135" s="1">
        <v>355576.28</v>
      </c>
      <c r="CE135" s="1">
        <v>667188.08900000004</v>
      </c>
      <c r="CF135" s="1">
        <v>384204.82</v>
      </c>
      <c r="CG135" s="1">
        <v>800344.17999999993</v>
      </c>
      <c r="CH135" s="1">
        <v>394931.41000000003</v>
      </c>
      <c r="CI135" s="1">
        <v>699341.51</v>
      </c>
      <c r="CJ135" s="1">
        <v>522894.69999999995</v>
      </c>
      <c r="CK135" s="1">
        <v>414393.82999999996</v>
      </c>
      <c r="CL135" s="1">
        <v>561571.80000000005</v>
      </c>
      <c r="CM135" s="1">
        <v>518561.23</v>
      </c>
      <c r="CN135" s="1">
        <v>448425.67</v>
      </c>
      <c r="CO135" s="1">
        <v>358417.56999999995</v>
      </c>
      <c r="CP135" s="1">
        <v>520315.20999999996</v>
      </c>
      <c r="CQ135" s="1">
        <v>464465.93</v>
      </c>
      <c r="CR135" s="1">
        <v>647890.28</v>
      </c>
      <c r="CS135" s="1">
        <v>799580.91</v>
      </c>
      <c r="CT135" s="1">
        <v>717329.65999999992</v>
      </c>
      <c r="CU135" s="1">
        <v>704589.51</v>
      </c>
      <c r="CV135" s="1">
        <v>524733.61</v>
      </c>
      <c r="CW135" s="1">
        <v>569652.11</v>
      </c>
      <c r="CX135" s="1">
        <v>532906.79999999993</v>
      </c>
      <c r="CY135" s="1">
        <v>483274.74</v>
      </c>
      <c r="CZ135" s="1">
        <v>475717.56</v>
      </c>
      <c r="DA135" s="1">
        <v>570104.53</v>
      </c>
      <c r="DB135" s="1">
        <v>391244.46</v>
      </c>
      <c r="DC135" s="1">
        <v>634222.26</v>
      </c>
      <c r="DD135" s="1">
        <v>0</v>
      </c>
      <c r="DE135" s="1">
        <v>0</v>
      </c>
      <c r="DF135" s="1">
        <v>0</v>
      </c>
      <c r="DH135" s="6">
        <f t="shared" si="65"/>
        <v>17997704.289000005</v>
      </c>
    </row>
    <row r="136" spans="1:112" x14ac:dyDescent="0.2">
      <c r="A136" s="5" t="str">
        <f>A135</f>
        <v>ME</v>
      </c>
      <c r="B136" s="5" t="s">
        <v>41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H136" s="6">
        <f t="shared" si="65"/>
        <v>0</v>
      </c>
    </row>
    <row r="137" spans="1:112" x14ac:dyDescent="0.2">
      <c r="A137" s="5" t="s">
        <v>22</v>
      </c>
      <c r="B137" s="5" t="s">
        <v>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>
        <v>593955.93999999994</v>
      </c>
      <c r="AD137" s="1">
        <v>0</v>
      </c>
      <c r="AE137" s="1">
        <v>0</v>
      </c>
      <c r="AF137" s="1">
        <v>0</v>
      </c>
      <c r="AG137" s="1">
        <v>0</v>
      </c>
      <c r="AH137" s="1">
        <v>15744255.74</v>
      </c>
      <c r="AI137" s="1">
        <v>33503928.739999998</v>
      </c>
      <c r="AJ137" s="1">
        <v>46120823.649999999</v>
      </c>
      <c r="AK137" s="1">
        <v>25080140.350000001</v>
      </c>
      <c r="AL137" s="1">
        <v>9720393.1099999994</v>
      </c>
      <c r="AM137" s="1">
        <v>150849896.40000001</v>
      </c>
      <c r="AN137" s="1">
        <v>325569036.51999998</v>
      </c>
      <c r="AO137" s="1">
        <v>383691891.75999999</v>
      </c>
      <c r="AP137" s="1">
        <v>274212629.58999997</v>
      </c>
      <c r="AQ137" s="1">
        <v>257748034.82000002</v>
      </c>
      <c r="AR137" s="1">
        <v>259504202.47999999</v>
      </c>
      <c r="AS137" s="1">
        <v>206267088.35999998</v>
      </c>
      <c r="AT137" s="1">
        <v>208565955.27000001</v>
      </c>
      <c r="AU137" s="1">
        <v>386780231.15000004</v>
      </c>
      <c r="AV137" s="1">
        <v>497565424.98000002</v>
      </c>
      <c r="AW137" s="1">
        <v>500521375.69999999</v>
      </c>
      <c r="AX137" s="1">
        <v>514630535.52999997</v>
      </c>
      <c r="AY137" s="1">
        <v>532681709.53000003</v>
      </c>
      <c r="AZ137" s="1">
        <v>423768381.19</v>
      </c>
      <c r="BA137" s="1">
        <v>477967947.33000004</v>
      </c>
      <c r="BB137" s="1">
        <v>396009818.82999998</v>
      </c>
      <c r="BC137" s="1">
        <v>356130390.13</v>
      </c>
      <c r="BD137" s="1">
        <v>292389429.45999998</v>
      </c>
      <c r="BE137" s="1">
        <v>224966256.41000003</v>
      </c>
      <c r="BF137" s="1">
        <v>229797476.03</v>
      </c>
      <c r="BG137" s="1">
        <v>383102602.14999998</v>
      </c>
      <c r="BH137" s="1">
        <v>504336506.99000001</v>
      </c>
      <c r="BI137" s="1">
        <v>498118042.63</v>
      </c>
      <c r="BJ137" s="1">
        <v>494820409.39999998</v>
      </c>
      <c r="BK137" s="1">
        <v>490904821.86000001</v>
      </c>
      <c r="BL137" s="1">
        <v>357161200.03999996</v>
      </c>
      <c r="BM137" s="1">
        <v>421666037.47000003</v>
      </c>
      <c r="BN137" s="1">
        <v>338127853.37</v>
      </c>
      <c r="BO137" s="1">
        <v>305275755.22000003</v>
      </c>
      <c r="BP137" s="1">
        <v>235996766.66999999</v>
      </c>
      <c r="BQ137" s="1">
        <v>208808122.69000003</v>
      </c>
      <c r="BR137" s="1">
        <v>228495763.37</v>
      </c>
      <c r="BS137" s="1">
        <v>475772390.51999998</v>
      </c>
      <c r="BT137" s="1">
        <v>551127023.94999993</v>
      </c>
      <c r="BU137" s="1">
        <v>584142442.95000005</v>
      </c>
      <c r="BV137" s="1">
        <v>613425698.69000006</v>
      </c>
      <c r="BW137" s="1">
        <v>601585141.96000004</v>
      </c>
      <c r="BX137" s="1">
        <v>415816758.01999998</v>
      </c>
      <c r="BY137" s="1">
        <v>497622751.77999997</v>
      </c>
      <c r="BZ137" s="1">
        <v>414426338.78000003</v>
      </c>
      <c r="CA137" s="1">
        <v>354836011.07999998</v>
      </c>
      <c r="CB137" s="1">
        <v>285170265.63999999</v>
      </c>
      <c r="CC137" s="1">
        <v>256764456.82999998</v>
      </c>
      <c r="CD137" s="1">
        <v>289680650.90999997</v>
      </c>
      <c r="CE137" s="1">
        <v>523776649.63</v>
      </c>
      <c r="CF137" s="1">
        <v>582611718.15999997</v>
      </c>
      <c r="CG137" s="1">
        <v>671219906.81999993</v>
      </c>
      <c r="CH137" s="1">
        <v>617500845.32000005</v>
      </c>
      <c r="CI137" s="1">
        <v>574628173.63999999</v>
      </c>
      <c r="CJ137" s="1">
        <v>388079419.91999996</v>
      </c>
      <c r="CK137" s="1">
        <v>487163310.79000002</v>
      </c>
      <c r="CL137" s="1">
        <v>426993695.25999999</v>
      </c>
      <c r="CM137" s="1">
        <v>395296513.63</v>
      </c>
      <c r="CN137" s="1">
        <v>309922493.35000002</v>
      </c>
      <c r="CO137" s="1">
        <v>288488355.92000002</v>
      </c>
      <c r="CP137" s="1">
        <v>345619334.76999998</v>
      </c>
      <c r="CQ137" s="1">
        <v>537890047.42999995</v>
      </c>
      <c r="CR137" s="1">
        <v>619391296.63</v>
      </c>
      <c r="CS137" s="1">
        <v>645500612.36000001</v>
      </c>
      <c r="CT137" s="1">
        <v>525171568.46000004</v>
      </c>
      <c r="CU137" s="1">
        <v>502588166.15000004</v>
      </c>
      <c r="CV137" s="1">
        <v>391130962.95999998</v>
      </c>
      <c r="CW137" s="1">
        <v>494086400.42000002</v>
      </c>
      <c r="CX137" s="1">
        <v>469551174.92000002</v>
      </c>
      <c r="CY137" s="1">
        <v>464796515.88</v>
      </c>
      <c r="CZ137" s="1">
        <v>372480494.55000001</v>
      </c>
      <c r="DA137" s="1">
        <v>361092710.93000001</v>
      </c>
      <c r="DB137" s="1">
        <v>337706767.61999995</v>
      </c>
      <c r="DC137" s="1">
        <v>557206309.26999998</v>
      </c>
      <c r="DD137" s="1">
        <v>0</v>
      </c>
      <c r="DE137" s="1">
        <v>0</v>
      </c>
      <c r="DF137" s="1">
        <v>0</v>
      </c>
      <c r="DH137" s="6">
        <f t="shared" si="65"/>
        <v>28727458466.759998</v>
      </c>
    </row>
    <row r="138" spans="1:112" x14ac:dyDescent="0.2">
      <c r="A138" s="5" t="s">
        <v>22</v>
      </c>
      <c r="B138" s="5" t="s">
        <v>42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>
        <v>115165702.64</v>
      </c>
      <c r="AN138" s="1">
        <v>301857053.99000001</v>
      </c>
      <c r="AO138" s="1">
        <v>359450161.58999997</v>
      </c>
      <c r="AP138" s="1">
        <v>249874948.00999999</v>
      </c>
      <c r="AQ138" s="1">
        <v>237551158.08000001</v>
      </c>
      <c r="AR138" s="1">
        <v>235125334.84999999</v>
      </c>
      <c r="AS138" s="1">
        <v>187994305.41</v>
      </c>
      <c r="AT138" s="1">
        <v>192277785.15000001</v>
      </c>
      <c r="AU138" s="1">
        <v>354251743.73000002</v>
      </c>
      <c r="AV138" s="1">
        <v>463344087.37</v>
      </c>
      <c r="AW138" s="1">
        <v>473827491.06</v>
      </c>
      <c r="AX138" s="1">
        <v>484558593.88999999</v>
      </c>
      <c r="AY138" s="1">
        <v>496816569.30000001</v>
      </c>
      <c r="AZ138" s="1">
        <v>398394907.11000001</v>
      </c>
      <c r="BA138" s="1">
        <v>451612643.72000003</v>
      </c>
      <c r="BB138" s="1">
        <v>371224133.13999999</v>
      </c>
      <c r="BC138" s="1">
        <v>333363114.20999998</v>
      </c>
      <c r="BD138" s="1">
        <v>270010893.25</v>
      </c>
      <c r="BE138" s="1">
        <v>206105497.61000001</v>
      </c>
      <c r="BF138" s="1">
        <v>218793723.18000001</v>
      </c>
      <c r="BG138" s="1">
        <v>364522165.38999999</v>
      </c>
      <c r="BH138" s="1">
        <v>480793043.31999999</v>
      </c>
      <c r="BI138" s="1">
        <v>479981073.29000002</v>
      </c>
      <c r="BJ138" s="1">
        <v>478738017.02999997</v>
      </c>
      <c r="BK138" s="1">
        <v>475627138.50999999</v>
      </c>
      <c r="BL138" s="1">
        <v>344942386.26999998</v>
      </c>
      <c r="BM138" s="1">
        <v>407727854.29000002</v>
      </c>
      <c r="BN138" s="1">
        <v>322821968.13</v>
      </c>
      <c r="BO138" s="1">
        <v>288339700.22000003</v>
      </c>
      <c r="BP138" s="1">
        <v>227895436.28</v>
      </c>
      <c r="BQ138" s="1">
        <v>200844525.11000001</v>
      </c>
      <c r="BR138" s="1">
        <v>218460119.05000001</v>
      </c>
      <c r="BS138" s="1">
        <v>457695678.76999998</v>
      </c>
      <c r="BT138" s="1">
        <v>533007996.33999997</v>
      </c>
      <c r="BU138" s="1">
        <v>568823683.13</v>
      </c>
      <c r="BV138" s="1">
        <v>583036261.59000003</v>
      </c>
      <c r="BW138" s="1">
        <v>577396905.5</v>
      </c>
      <c r="BX138" s="1">
        <v>402594842.12</v>
      </c>
      <c r="BY138" s="1">
        <v>480369320.38</v>
      </c>
      <c r="BZ138" s="1">
        <v>399142533.97000003</v>
      </c>
      <c r="CA138" s="1">
        <v>343688479.51999998</v>
      </c>
      <c r="CB138" s="1">
        <v>276751935.64999998</v>
      </c>
      <c r="CC138" s="1">
        <v>250189000.75999999</v>
      </c>
      <c r="CD138" s="1">
        <v>280066449.50999999</v>
      </c>
      <c r="CE138" s="1">
        <v>501752009.05000001</v>
      </c>
      <c r="CF138" s="1">
        <v>560423326.24000001</v>
      </c>
      <c r="CG138" s="1">
        <v>650228979.55999994</v>
      </c>
      <c r="CH138" s="1">
        <v>597733281.10000002</v>
      </c>
      <c r="CI138" s="1">
        <v>555243268.63999999</v>
      </c>
      <c r="CJ138" s="1">
        <v>379839806.76999998</v>
      </c>
      <c r="CK138" s="1">
        <v>475085598.06</v>
      </c>
      <c r="CL138" s="1">
        <v>417583191.02999997</v>
      </c>
      <c r="CM138" s="1">
        <v>386066920.81999999</v>
      </c>
      <c r="CN138" s="1">
        <v>302697687.05000001</v>
      </c>
      <c r="CO138" s="1">
        <v>282741085.5</v>
      </c>
      <c r="CP138" s="1">
        <v>338856657.00999999</v>
      </c>
      <c r="CQ138" s="1">
        <v>524349161.70999998</v>
      </c>
      <c r="CR138" s="1">
        <v>605918347.38</v>
      </c>
      <c r="CS138" s="1">
        <v>631130490.48000002</v>
      </c>
      <c r="CT138" s="1">
        <v>512939192.30000001</v>
      </c>
      <c r="CU138" s="1">
        <v>491260369.05000001</v>
      </c>
      <c r="CV138" s="1">
        <v>384665361</v>
      </c>
      <c r="CW138" s="1">
        <v>485132453.50999999</v>
      </c>
      <c r="CX138" s="1">
        <v>460815960.49000001</v>
      </c>
      <c r="CY138" s="1">
        <v>457586181.51999998</v>
      </c>
      <c r="CZ138" s="1">
        <v>366104743.60000002</v>
      </c>
      <c r="DA138" s="1">
        <v>355209879.43000001</v>
      </c>
      <c r="DB138" s="1">
        <v>330491956.52999997</v>
      </c>
      <c r="DC138" s="1">
        <v>544820665.86000001</v>
      </c>
      <c r="DD138" s="1">
        <v>0</v>
      </c>
      <c r="DE138" s="1">
        <v>0</v>
      </c>
      <c r="DF138" s="1">
        <v>0</v>
      </c>
      <c r="DH138" s="6">
        <f t="shared" si="65"/>
        <v>27443732935.109993</v>
      </c>
    </row>
    <row r="139" spans="1:112" x14ac:dyDescent="0.2">
      <c r="A139" s="5" t="s">
        <v>22</v>
      </c>
      <c r="B139" s="5" t="s">
        <v>43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>
        <f t="shared" ref="AC139:CN139" si="67">AC137-AC138</f>
        <v>593955.93999999994</v>
      </c>
      <c r="AD139" s="1">
        <f t="shared" si="67"/>
        <v>0</v>
      </c>
      <c r="AE139" s="1">
        <f t="shared" si="67"/>
        <v>0</v>
      </c>
      <c r="AF139" s="1">
        <f t="shared" si="67"/>
        <v>0</v>
      </c>
      <c r="AG139" s="1">
        <f t="shared" si="67"/>
        <v>0</v>
      </c>
      <c r="AH139" s="1">
        <f t="shared" si="67"/>
        <v>15744255.74</v>
      </c>
      <c r="AI139" s="1">
        <f t="shared" si="67"/>
        <v>33503928.739999998</v>
      </c>
      <c r="AJ139" s="1">
        <f t="shared" si="67"/>
        <v>46120823.649999999</v>
      </c>
      <c r="AK139" s="1">
        <f t="shared" si="67"/>
        <v>25080140.350000001</v>
      </c>
      <c r="AL139" s="1">
        <f t="shared" si="67"/>
        <v>9720393.1099999994</v>
      </c>
      <c r="AM139" s="1">
        <f t="shared" si="67"/>
        <v>35684193.760000005</v>
      </c>
      <c r="AN139" s="1">
        <f t="shared" si="67"/>
        <v>23711982.529999971</v>
      </c>
      <c r="AO139" s="1">
        <f t="shared" si="67"/>
        <v>24241730.170000017</v>
      </c>
      <c r="AP139" s="1">
        <f t="shared" si="67"/>
        <v>24337681.579999983</v>
      </c>
      <c r="AQ139" s="1">
        <f t="shared" si="67"/>
        <v>20196876.74000001</v>
      </c>
      <c r="AR139" s="1">
        <f t="shared" si="67"/>
        <v>24378867.629999995</v>
      </c>
      <c r="AS139" s="1">
        <f t="shared" si="67"/>
        <v>18272782.949999988</v>
      </c>
      <c r="AT139" s="1">
        <f t="shared" si="67"/>
        <v>16288170.120000005</v>
      </c>
      <c r="AU139" s="1">
        <f t="shared" si="67"/>
        <v>32528487.420000017</v>
      </c>
      <c r="AV139" s="1">
        <f t="shared" si="67"/>
        <v>34221337.610000014</v>
      </c>
      <c r="AW139" s="1">
        <f t="shared" si="67"/>
        <v>26693884.639999986</v>
      </c>
      <c r="AX139" s="1">
        <f t="shared" si="67"/>
        <v>30071941.639999986</v>
      </c>
      <c r="AY139" s="1">
        <f t="shared" si="67"/>
        <v>35865140.230000019</v>
      </c>
      <c r="AZ139" s="1">
        <f t="shared" si="67"/>
        <v>25373474.079999983</v>
      </c>
      <c r="BA139" s="1">
        <f t="shared" si="67"/>
        <v>26355303.610000014</v>
      </c>
      <c r="BB139" s="1">
        <f t="shared" si="67"/>
        <v>24785685.689999998</v>
      </c>
      <c r="BC139" s="1">
        <f t="shared" si="67"/>
        <v>22767275.920000017</v>
      </c>
      <c r="BD139" s="1">
        <f t="shared" si="67"/>
        <v>22378536.209999979</v>
      </c>
      <c r="BE139" s="1">
        <f t="shared" si="67"/>
        <v>18860758.800000012</v>
      </c>
      <c r="BF139" s="1">
        <f t="shared" si="67"/>
        <v>11003752.849999994</v>
      </c>
      <c r="BG139" s="1">
        <f t="shared" si="67"/>
        <v>18580436.75999999</v>
      </c>
      <c r="BH139" s="1">
        <f t="shared" si="67"/>
        <v>23543463.670000017</v>
      </c>
      <c r="BI139" s="1">
        <f t="shared" si="67"/>
        <v>18136969.339999974</v>
      </c>
      <c r="BJ139" s="1">
        <f t="shared" si="67"/>
        <v>16082392.370000005</v>
      </c>
      <c r="BK139" s="1">
        <f t="shared" si="67"/>
        <v>15277683.350000024</v>
      </c>
      <c r="BL139" s="1">
        <f t="shared" si="67"/>
        <v>12218813.769999981</v>
      </c>
      <c r="BM139" s="1">
        <f t="shared" si="67"/>
        <v>13938183.180000007</v>
      </c>
      <c r="BN139" s="1">
        <f t="shared" si="67"/>
        <v>15305885.24000001</v>
      </c>
      <c r="BO139" s="1">
        <f t="shared" si="67"/>
        <v>16936055</v>
      </c>
      <c r="BP139" s="1">
        <f t="shared" si="67"/>
        <v>8101330.3899999857</v>
      </c>
      <c r="BQ139" s="1">
        <f t="shared" si="67"/>
        <v>7963597.5800000131</v>
      </c>
      <c r="BR139" s="1">
        <f t="shared" si="67"/>
        <v>10035644.319999993</v>
      </c>
      <c r="BS139" s="1">
        <f t="shared" si="67"/>
        <v>18076711.75</v>
      </c>
      <c r="BT139" s="1">
        <f t="shared" si="67"/>
        <v>18119027.609999955</v>
      </c>
      <c r="BU139" s="1">
        <f t="shared" si="67"/>
        <v>15318759.820000052</v>
      </c>
      <c r="BV139" s="1">
        <f t="shared" si="67"/>
        <v>30389437.100000024</v>
      </c>
      <c r="BW139" s="1">
        <f t="shared" si="67"/>
        <v>24188236.460000038</v>
      </c>
      <c r="BX139" s="1">
        <f t="shared" si="67"/>
        <v>13221915.899999976</v>
      </c>
      <c r="BY139" s="1">
        <f t="shared" si="67"/>
        <v>17253431.399999976</v>
      </c>
      <c r="BZ139" s="1">
        <f t="shared" si="67"/>
        <v>15283804.810000002</v>
      </c>
      <c r="CA139" s="1">
        <f t="shared" si="67"/>
        <v>11147531.560000002</v>
      </c>
      <c r="CB139" s="1">
        <f t="shared" si="67"/>
        <v>8418329.9900000095</v>
      </c>
      <c r="CC139" s="1">
        <f t="shared" si="67"/>
        <v>6575456.0699999928</v>
      </c>
      <c r="CD139" s="1">
        <f t="shared" si="67"/>
        <v>9614201.3999999762</v>
      </c>
      <c r="CE139" s="1">
        <f t="shared" si="67"/>
        <v>22024640.579999983</v>
      </c>
      <c r="CF139" s="1">
        <f t="shared" si="67"/>
        <v>22188391.919999957</v>
      </c>
      <c r="CG139" s="1">
        <f t="shared" si="67"/>
        <v>20990927.25999999</v>
      </c>
      <c r="CH139" s="1">
        <f t="shared" si="67"/>
        <v>19767564.220000029</v>
      </c>
      <c r="CI139" s="1">
        <f t="shared" si="67"/>
        <v>19384905</v>
      </c>
      <c r="CJ139" s="1">
        <f t="shared" si="67"/>
        <v>8239613.1499999762</v>
      </c>
      <c r="CK139" s="1">
        <f t="shared" si="67"/>
        <v>12077712.730000019</v>
      </c>
      <c r="CL139" s="1">
        <f t="shared" si="67"/>
        <v>9410504.2300000191</v>
      </c>
      <c r="CM139" s="1">
        <f t="shared" si="67"/>
        <v>9229592.8100000024</v>
      </c>
      <c r="CN139" s="1">
        <f t="shared" si="67"/>
        <v>7224806.3000000119</v>
      </c>
      <c r="CO139" s="1">
        <f t="shared" ref="CO139:DF139" si="68">CO137-CO138</f>
        <v>5747270.4200000167</v>
      </c>
      <c r="CP139" s="1">
        <f t="shared" si="68"/>
        <v>6762677.7599999905</v>
      </c>
      <c r="CQ139" s="1">
        <f t="shared" si="68"/>
        <v>13540885.719999969</v>
      </c>
      <c r="CR139" s="1">
        <f t="shared" si="68"/>
        <v>13472949.25</v>
      </c>
      <c r="CS139" s="1">
        <f t="shared" si="68"/>
        <v>14370121.879999995</v>
      </c>
      <c r="CT139" s="1">
        <f t="shared" si="68"/>
        <v>12232376.160000026</v>
      </c>
      <c r="CU139" s="1">
        <f t="shared" si="68"/>
        <v>11327797.100000024</v>
      </c>
      <c r="CV139" s="1">
        <f t="shared" si="68"/>
        <v>6465601.9599999785</v>
      </c>
      <c r="CW139" s="1">
        <f t="shared" si="68"/>
        <v>8953946.9100000262</v>
      </c>
      <c r="CX139" s="1">
        <f t="shared" si="68"/>
        <v>8735214.4300000072</v>
      </c>
      <c r="CY139" s="1">
        <f t="shared" si="68"/>
        <v>7210334.3600000143</v>
      </c>
      <c r="CZ139" s="1">
        <f t="shared" si="68"/>
        <v>6375750.9499999881</v>
      </c>
      <c r="DA139" s="1">
        <f t="shared" si="68"/>
        <v>5882831.5</v>
      </c>
      <c r="DB139" s="1">
        <f t="shared" si="68"/>
        <v>7214811.0899999738</v>
      </c>
      <c r="DC139" s="1">
        <f t="shared" si="68"/>
        <v>12385643.409999967</v>
      </c>
      <c r="DD139" s="1">
        <f t="shared" si="68"/>
        <v>0</v>
      </c>
      <c r="DE139" s="1">
        <f t="shared" si="68"/>
        <v>0</v>
      </c>
      <c r="DF139" s="1">
        <f t="shared" si="68"/>
        <v>0</v>
      </c>
      <c r="DH139" s="6">
        <f t="shared" si="65"/>
        <v>1283725531.6500001</v>
      </c>
    </row>
    <row r="140" spans="1:112" x14ac:dyDescent="0.2">
      <c r="A140" s="5" t="s">
        <v>22</v>
      </c>
      <c r="B140" s="5" t="s">
        <v>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>
        <v>105548.44</v>
      </c>
      <c r="AD140" s="1">
        <v>0</v>
      </c>
      <c r="AE140" s="1">
        <v>0</v>
      </c>
      <c r="AF140" s="1">
        <v>0</v>
      </c>
      <c r="AG140" s="1">
        <v>0</v>
      </c>
      <c r="AH140" s="1">
        <v>1977051.88</v>
      </c>
      <c r="AI140" s="1">
        <v>4376407.4400000004</v>
      </c>
      <c r="AJ140" s="1">
        <v>7596972.3399999999</v>
      </c>
      <c r="AK140" s="1">
        <v>2337637.9900000002</v>
      </c>
      <c r="AL140" s="1">
        <v>1883240.41</v>
      </c>
      <c r="AM140" s="1">
        <v>17423563.739999998</v>
      </c>
      <c r="AN140" s="1">
        <v>9395301.8200000003</v>
      </c>
      <c r="AO140" s="1">
        <v>35238593</v>
      </c>
      <c r="AP140" s="1">
        <v>21922960.620000001</v>
      </c>
      <c r="AQ140" s="1">
        <v>21228714.02</v>
      </c>
      <c r="AR140" s="1">
        <v>27244792.979999997</v>
      </c>
      <c r="AS140" s="1">
        <v>20766255.43</v>
      </c>
      <c r="AT140" s="1">
        <v>17536331.82</v>
      </c>
      <c r="AU140" s="1">
        <v>27135351.139999997</v>
      </c>
      <c r="AV140" s="1">
        <v>26947289.099999998</v>
      </c>
      <c r="AW140" s="1">
        <v>58762834.770000003</v>
      </c>
      <c r="AX140" s="1">
        <v>35920226.549999997</v>
      </c>
      <c r="AY140" s="1">
        <v>36647757.890000001</v>
      </c>
      <c r="AZ140" s="1">
        <v>21633471.239999998</v>
      </c>
      <c r="BA140" s="1">
        <v>32445133.059999999</v>
      </c>
      <c r="BB140" s="1">
        <v>32630491.420000002</v>
      </c>
      <c r="BC140" s="1">
        <v>35920231.420000002</v>
      </c>
      <c r="BD140" s="1">
        <v>15826609.91</v>
      </c>
      <c r="BE140" s="1">
        <v>22874581.52</v>
      </c>
      <c r="BF140" s="1">
        <v>25654848.91</v>
      </c>
      <c r="BG140" s="1">
        <v>50442747.720000006</v>
      </c>
      <c r="BH140" s="1">
        <v>51362299.050000004</v>
      </c>
      <c r="BI140" s="1">
        <v>42758230.240000002</v>
      </c>
      <c r="BJ140" s="1">
        <v>50450734.969999999</v>
      </c>
      <c r="BK140" s="1">
        <v>33785629.060000002</v>
      </c>
      <c r="BL140" s="1">
        <v>23134728.479999997</v>
      </c>
      <c r="BM140" s="1">
        <v>46016812.189999998</v>
      </c>
      <c r="BN140" s="1">
        <v>36275215.280000001</v>
      </c>
      <c r="BO140" s="1">
        <v>36125965.689999998</v>
      </c>
      <c r="BP140" s="1">
        <v>17928414.84</v>
      </c>
      <c r="BQ140" s="1">
        <v>22985461.010000002</v>
      </c>
      <c r="BR140" s="1">
        <v>23480419.390000001</v>
      </c>
      <c r="BS140" s="1">
        <v>45606093.909999996</v>
      </c>
      <c r="BT140" s="1">
        <v>46135707.600000001</v>
      </c>
      <c r="BU140" s="1">
        <v>37043266.409999996</v>
      </c>
      <c r="BV140" s="1">
        <v>65920318.490000002</v>
      </c>
      <c r="BW140" s="1">
        <v>48197777.530000001</v>
      </c>
      <c r="BX140" s="1">
        <v>30361417.150000002</v>
      </c>
      <c r="BY140" s="1">
        <v>43534857.920000002</v>
      </c>
      <c r="BZ140" s="1">
        <v>43437159.909999996</v>
      </c>
      <c r="CA140" s="1">
        <v>42766351.370000005</v>
      </c>
      <c r="CB140" s="1">
        <v>31802442.209999997</v>
      </c>
      <c r="CC140" s="1">
        <v>29041633</v>
      </c>
      <c r="CD140" s="1">
        <v>29053190.399999999</v>
      </c>
      <c r="CE140" s="1">
        <v>59216534.870000005</v>
      </c>
      <c r="CF140" s="1">
        <v>32209323.050000001</v>
      </c>
      <c r="CG140" s="1">
        <v>60207252.579999998</v>
      </c>
      <c r="CH140" s="1">
        <v>20486082.280000001</v>
      </c>
      <c r="CI140" s="1">
        <v>85560633.840000004</v>
      </c>
      <c r="CJ140" s="1">
        <v>46811512.43</v>
      </c>
      <c r="CK140" s="1">
        <v>33549824.529999997</v>
      </c>
      <c r="CL140" s="1">
        <v>42958990.810000002</v>
      </c>
      <c r="CM140" s="1">
        <v>51245146.210000001</v>
      </c>
      <c r="CN140" s="1">
        <v>45289962.369999997</v>
      </c>
      <c r="CO140" s="1">
        <v>35116688.460000001</v>
      </c>
      <c r="CP140" s="1">
        <v>50512970.239999995</v>
      </c>
      <c r="CQ140" s="1">
        <v>44361701.449999996</v>
      </c>
      <c r="CR140" s="1">
        <v>75374096.450000003</v>
      </c>
      <c r="CS140" s="1">
        <v>89029096.680000007</v>
      </c>
      <c r="CT140" s="1">
        <v>85781299.310000002</v>
      </c>
      <c r="CU140" s="1">
        <v>58826057.149999999</v>
      </c>
      <c r="CV140" s="1">
        <v>40440313.690000005</v>
      </c>
      <c r="CW140" s="1">
        <v>50847075.490000002</v>
      </c>
      <c r="CX140" s="1">
        <v>68494983.270000011</v>
      </c>
      <c r="CY140" s="1">
        <v>77499289.820000008</v>
      </c>
      <c r="CZ140" s="1">
        <v>40959615.460000001</v>
      </c>
      <c r="DA140" s="1">
        <v>44295218.93</v>
      </c>
      <c r="DB140" s="1">
        <v>35462799.170000002</v>
      </c>
      <c r="DC140" s="1">
        <v>56292119.869999997</v>
      </c>
      <c r="DD140" s="1">
        <v>0</v>
      </c>
      <c r="DE140" s="1">
        <v>0</v>
      </c>
      <c r="DF140" s="1">
        <v>0</v>
      </c>
      <c r="DH140" s="6">
        <f t="shared" si="65"/>
        <v>2819907661.0900002</v>
      </c>
    </row>
    <row r="141" spans="1:112" x14ac:dyDescent="0.2">
      <c r="A141" s="5" t="s">
        <v>22</v>
      </c>
      <c r="B141" s="5" t="s">
        <v>44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>
        <v>13333027.279999999</v>
      </c>
      <c r="AN141" s="1">
        <v>9472918.7200000007</v>
      </c>
      <c r="AO141" s="1">
        <v>32270529.399999999</v>
      </c>
      <c r="AP141" s="1">
        <v>20380429.73</v>
      </c>
      <c r="AQ141" s="1">
        <v>19459442.640000001</v>
      </c>
      <c r="AR141" s="1">
        <v>24948860.649999999</v>
      </c>
      <c r="AS141" s="1">
        <v>19554398.120000001</v>
      </c>
      <c r="AT141" s="1">
        <v>15887751.109999999</v>
      </c>
      <c r="AU141" s="1">
        <v>23675510.489999998</v>
      </c>
      <c r="AV141" s="1">
        <v>24304966.699999999</v>
      </c>
      <c r="AW141" s="1">
        <v>54120029.990000002</v>
      </c>
      <c r="AX141" s="1">
        <v>34764548.369999997</v>
      </c>
      <c r="AY141" s="1">
        <v>34675495.460000001</v>
      </c>
      <c r="AZ141" s="1">
        <v>22503409.739999998</v>
      </c>
      <c r="BA141" s="1">
        <v>30476085.879999999</v>
      </c>
      <c r="BB141" s="1">
        <v>30737725.34</v>
      </c>
      <c r="BC141" s="1">
        <v>33524772.43</v>
      </c>
      <c r="BD141" s="1">
        <v>15364395.41</v>
      </c>
      <c r="BE141" s="1">
        <v>21616482.98</v>
      </c>
      <c r="BF141" s="1">
        <v>23992326.699999999</v>
      </c>
      <c r="BG141" s="1">
        <v>47810240.520000003</v>
      </c>
      <c r="BH141" s="1">
        <v>49229621.310000002</v>
      </c>
      <c r="BI141" s="1">
        <v>40846133.140000001</v>
      </c>
      <c r="BJ141" s="1">
        <v>48800184.560000002</v>
      </c>
      <c r="BK141" s="1">
        <v>33636250.420000002</v>
      </c>
      <c r="BL141" s="1">
        <v>22658815.579999998</v>
      </c>
      <c r="BM141" s="1">
        <v>44585232.119999997</v>
      </c>
      <c r="BN141" s="1">
        <v>36289704.310000002</v>
      </c>
      <c r="BO141" s="1">
        <v>35204697.890000001</v>
      </c>
      <c r="BP141" s="1">
        <v>18307055.649999999</v>
      </c>
      <c r="BQ141" s="1">
        <v>22499698.23</v>
      </c>
      <c r="BR141" s="1">
        <v>23153128.16</v>
      </c>
      <c r="BS141" s="1">
        <v>43986327.68</v>
      </c>
      <c r="BT141" s="1">
        <v>45002522.850000001</v>
      </c>
      <c r="BU141" s="1">
        <v>33926916.409999996</v>
      </c>
      <c r="BV141" s="1">
        <v>61125641.740000002</v>
      </c>
      <c r="BW141" s="1">
        <v>47676789.259999998</v>
      </c>
      <c r="BX141" s="1">
        <v>30481558.760000002</v>
      </c>
      <c r="BY141" s="1">
        <v>41929596.289999999</v>
      </c>
      <c r="BZ141" s="1">
        <v>41863598.159999996</v>
      </c>
      <c r="CA141" s="1">
        <v>40897849.200000003</v>
      </c>
      <c r="CB141" s="1">
        <v>30907575.129999999</v>
      </c>
      <c r="CC141" s="1">
        <v>29420680.300000001</v>
      </c>
      <c r="CD141" s="1">
        <v>27358141.48</v>
      </c>
      <c r="CE141" s="1">
        <v>58444783.840000004</v>
      </c>
      <c r="CF141" s="1">
        <v>33031875.02</v>
      </c>
      <c r="CG141" s="1">
        <v>58278960.350000001</v>
      </c>
      <c r="CH141" s="1">
        <v>20206433.510000002</v>
      </c>
      <c r="CI141" s="1">
        <v>83034500.920000002</v>
      </c>
      <c r="CJ141" s="1">
        <v>45991062.149999999</v>
      </c>
      <c r="CK141" s="1">
        <v>32969813.629999999</v>
      </c>
      <c r="CL141" s="1">
        <v>42622969.840000004</v>
      </c>
      <c r="CM141" s="1">
        <v>49957191.789999999</v>
      </c>
      <c r="CN141" s="1">
        <v>44623588.079999998</v>
      </c>
      <c r="CO141" s="1">
        <v>34075975.75</v>
      </c>
      <c r="CP141" s="1">
        <v>49265180.299999997</v>
      </c>
      <c r="CQ141" s="1">
        <v>43585798.469999999</v>
      </c>
      <c r="CR141" s="1">
        <v>73811263.260000005</v>
      </c>
      <c r="CS141" s="1">
        <v>87300449.980000004</v>
      </c>
      <c r="CT141" s="1">
        <v>84022104.670000002</v>
      </c>
      <c r="CU141" s="1">
        <v>58036388.109999999</v>
      </c>
      <c r="CV141" s="1">
        <v>39862028.420000002</v>
      </c>
      <c r="CW141" s="1">
        <v>50020977.25</v>
      </c>
      <c r="CX141" s="1">
        <v>67626437.730000004</v>
      </c>
      <c r="CY141" s="1">
        <v>76699503.090000004</v>
      </c>
      <c r="CZ141" s="1">
        <v>40121934.920000002</v>
      </c>
      <c r="DA141" s="1">
        <v>43355598.93</v>
      </c>
      <c r="DB141" s="1">
        <v>34586306.899999999</v>
      </c>
      <c r="DC141" s="1">
        <v>55507357.640000001</v>
      </c>
      <c r="DD141" s="1">
        <v>0</v>
      </c>
      <c r="DE141" s="1">
        <v>0</v>
      </c>
      <c r="DF141" s="1">
        <v>0</v>
      </c>
      <c r="DH141" s="6">
        <f t="shared" si="65"/>
        <v>2709699550.8400002</v>
      </c>
    </row>
    <row r="142" spans="1:112" x14ac:dyDescent="0.2">
      <c r="A142" s="5" t="s">
        <v>22</v>
      </c>
      <c r="B142" s="5" t="s">
        <v>45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>
        <f t="shared" ref="AC142:CN142" si="69">AC140-AC141</f>
        <v>105548.44</v>
      </c>
      <c r="AD142" s="1">
        <f t="shared" si="69"/>
        <v>0</v>
      </c>
      <c r="AE142" s="1">
        <f t="shared" si="69"/>
        <v>0</v>
      </c>
      <c r="AF142" s="1">
        <f t="shared" si="69"/>
        <v>0</v>
      </c>
      <c r="AG142" s="1">
        <f t="shared" si="69"/>
        <v>0</v>
      </c>
      <c r="AH142" s="1">
        <f t="shared" si="69"/>
        <v>1977051.88</v>
      </c>
      <c r="AI142" s="1">
        <f t="shared" si="69"/>
        <v>4376407.4400000004</v>
      </c>
      <c r="AJ142" s="1">
        <f t="shared" si="69"/>
        <v>7596972.3399999999</v>
      </c>
      <c r="AK142" s="1">
        <f t="shared" si="69"/>
        <v>2337637.9900000002</v>
      </c>
      <c r="AL142" s="1">
        <f t="shared" si="69"/>
        <v>1883240.41</v>
      </c>
      <c r="AM142" s="1">
        <f t="shared" si="69"/>
        <v>4090536.459999999</v>
      </c>
      <c r="AN142" s="1">
        <f t="shared" si="69"/>
        <v>-77616.900000000373</v>
      </c>
      <c r="AO142" s="1">
        <f t="shared" si="69"/>
        <v>2968063.6000000015</v>
      </c>
      <c r="AP142" s="1">
        <f t="shared" si="69"/>
        <v>1542530.8900000006</v>
      </c>
      <c r="AQ142" s="1">
        <f t="shared" si="69"/>
        <v>1769271.379999999</v>
      </c>
      <c r="AR142" s="1">
        <f t="shared" si="69"/>
        <v>2295932.3299999982</v>
      </c>
      <c r="AS142" s="1">
        <f t="shared" si="69"/>
        <v>1211857.3099999987</v>
      </c>
      <c r="AT142" s="1">
        <f t="shared" si="69"/>
        <v>1648580.7100000009</v>
      </c>
      <c r="AU142" s="1">
        <f t="shared" si="69"/>
        <v>3459840.6499999985</v>
      </c>
      <c r="AV142" s="1">
        <f t="shared" si="69"/>
        <v>2642322.3999999985</v>
      </c>
      <c r="AW142" s="1">
        <f t="shared" si="69"/>
        <v>4642804.7800000012</v>
      </c>
      <c r="AX142" s="1">
        <f t="shared" si="69"/>
        <v>1155678.1799999997</v>
      </c>
      <c r="AY142" s="1">
        <f t="shared" si="69"/>
        <v>1972262.4299999997</v>
      </c>
      <c r="AZ142" s="1">
        <f t="shared" si="69"/>
        <v>-869938.5</v>
      </c>
      <c r="BA142" s="1">
        <f t="shared" si="69"/>
        <v>1969047.1799999997</v>
      </c>
      <c r="BB142" s="1">
        <f t="shared" si="69"/>
        <v>1892766.0800000019</v>
      </c>
      <c r="BC142" s="1">
        <f t="shared" si="69"/>
        <v>2395458.9900000021</v>
      </c>
      <c r="BD142" s="1">
        <f t="shared" si="69"/>
        <v>462214.5</v>
      </c>
      <c r="BE142" s="1">
        <f t="shared" si="69"/>
        <v>1258098.5399999991</v>
      </c>
      <c r="BF142" s="1">
        <f t="shared" si="69"/>
        <v>1662522.2100000009</v>
      </c>
      <c r="BG142" s="1">
        <f t="shared" si="69"/>
        <v>2632507.200000003</v>
      </c>
      <c r="BH142" s="1">
        <f t="shared" si="69"/>
        <v>2132677.7400000021</v>
      </c>
      <c r="BI142" s="1">
        <f t="shared" si="69"/>
        <v>1912097.1000000015</v>
      </c>
      <c r="BJ142" s="1">
        <f t="shared" si="69"/>
        <v>1650550.4099999964</v>
      </c>
      <c r="BK142" s="1">
        <f t="shared" si="69"/>
        <v>149378.6400000006</v>
      </c>
      <c r="BL142" s="1">
        <f t="shared" si="69"/>
        <v>475912.89999999851</v>
      </c>
      <c r="BM142" s="1">
        <f t="shared" si="69"/>
        <v>1431580.0700000003</v>
      </c>
      <c r="BN142" s="1">
        <f t="shared" si="69"/>
        <v>-14489.030000001192</v>
      </c>
      <c r="BO142" s="1">
        <f t="shared" si="69"/>
        <v>921267.79999999702</v>
      </c>
      <c r="BP142" s="1">
        <f t="shared" si="69"/>
        <v>-378640.80999999866</v>
      </c>
      <c r="BQ142" s="1">
        <f t="shared" si="69"/>
        <v>485762.78000000119</v>
      </c>
      <c r="BR142" s="1">
        <f t="shared" si="69"/>
        <v>327291.23000000045</v>
      </c>
      <c r="BS142" s="1">
        <f t="shared" si="69"/>
        <v>1619766.2299999967</v>
      </c>
      <c r="BT142" s="1">
        <f t="shared" si="69"/>
        <v>1133184.75</v>
      </c>
      <c r="BU142" s="1">
        <f t="shared" si="69"/>
        <v>3116350</v>
      </c>
      <c r="BV142" s="1">
        <f t="shared" si="69"/>
        <v>4794676.75</v>
      </c>
      <c r="BW142" s="1">
        <f t="shared" si="69"/>
        <v>520988.27000000328</v>
      </c>
      <c r="BX142" s="1">
        <f t="shared" si="69"/>
        <v>-120141.6099999994</v>
      </c>
      <c r="BY142" s="1">
        <f t="shared" si="69"/>
        <v>1605261.6300000027</v>
      </c>
      <c r="BZ142" s="1">
        <f t="shared" si="69"/>
        <v>1573561.75</v>
      </c>
      <c r="CA142" s="1">
        <f t="shared" si="69"/>
        <v>1868502.1700000018</v>
      </c>
      <c r="CB142" s="1">
        <f t="shared" si="69"/>
        <v>894867.07999999821</v>
      </c>
      <c r="CC142" s="1">
        <f t="shared" si="69"/>
        <v>-379047.30000000075</v>
      </c>
      <c r="CD142" s="1">
        <f t="shared" si="69"/>
        <v>1695048.9199999981</v>
      </c>
      <c r="CE142" s="1">
        <f t="shared" si="69"/>
        <v>771751.03000000119</v>
      </c>
      <c r="CF142" s="1">
        <f t="shared" si="69"/>
        <v>-822551.96999999881</v>
      </c>
      <c r="CG142" s="1">
        <f t="shared" si="69"/>
        <v>1928292.2299999967</v>
      </c>
      <c r="CH142" s="1">
        <f t="shared" si="69"/>
        <v>279648.76999999955</v>
      </c>
      <c r="CI142" s="1">
        <f t="shared" si="69"/>
        <v>2526132.9200000018</v>
      </c>
      <c r="CJ142" s="1">
        <f t="shared" si="69"/>
        <v>820450.28000000119</v>
      </c>
      <c r="CK142" s="1">
        <f t="shared" si="69"/>
        <v>580010.89999999851</v>
      </c>
      <c r="CL142" s="1">
        <f t="shared" si="69"/>
        <v>336020.96999999881</v>
      </c>
      <c r="CM142" s="1">
        <f t="shared" si="69"/>
        <v>1287954.4200000018</v>
      </c>
      <c r="CN142" s="1">
        <f t="shared" si="69"/>
        <v>666374.28999999911</v>
      </c>
      <c r="CO142" s="1">
        <f t="shared" ref="CO142:DF142" si="70">CO140-CO141</f>
        <v>1040712.7100000009</v>
      </c>
      <c r="CP142" s="1">
        <f t="shared" si="70"/>
        <v>1247789.9399999976</v>
      </c>
      <c r="CQ142" s="1">
        <f t="shared" si="70"/>
        <v>775902.97999999672</v>
      </c>
      <c r="CR142" s="1">
        <f t="shared" si="70"/>
        <v>1562833.1899999976</v>
      </c>
      <c r="CS142" s="1">
        <f t="shared" si="70"/>
        <v>1728646.700000003</v>
      </c>
      <c r="CT142" s="1">
        <f t="shared" si="70"/>
        <v>1759194.6400000006</v>
      </c>
      <c r="CU142" s="1">
        <f t="shared" si="70"/>
        <v>789669.03999999911</v>
      </c>
      <c r="CV142" s="1">
        <f t="shared" si="70"/>
        <v>578285.27000000328</v>
      </c>
      <c r="CW142" s="1">
        <f t="shared" si="70"/>
        <v>826098.24000000209</v>
      </c>
      <c r="CX142" s="1">
        <f t="shared" si="70"/>
        <v>868545.54000000656</v>
      </c>
      <c r="CY142" s="1">
        <f t="shared" si="70"/>
        <v>799786.73000000417</v>
      </c>
      <c r="CZ142" s="1">
        <f t="shared" si="70"/>
        <v>837680.53999999911</v>
      </c>
      <c r="DA142" s="1">
        <f t="shared" si="70"/>
        <v>939620</v>
      </c>
      <c r="DB142" s="1">
        <f t="shared" si="70"/>
        <v>876492.27000000328</v>
      </c>
      <c r="DC142" s="1">
        <f t="shared" si="70"/>
        <v>784762.22999999672</v>
      </c>
      <c r="DD142" s="1">
        <f t="shared" si="70"/>
        <v>0</v>
      </c>
      <c r="DE142" s="1">
        <f t="shared" si="70"/>
        <v>0</v>
      </c>
      <c r="DF142" s="1">
        <f t="shared" si="70"/>
        <v>0</v>
      </c>
      <c r="DH142" s="6">
        <f t="shared" si="65"/>
        <v>110208110.25000006</v>
      </c>
    </row>
    <row r="143" spans="1:112" x14ac:dyDescent="0.2">
      <c r="A143" s="5" t="s">
        <v>22</v>
      </c>
      <c r="B143" s="5" t="s">
        <v>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>
        <v>105548.41269841269</v>
      </c>
      <c r="AD143" s="1">
        <v>0</v>
      </c>
      <c r="AE143" s="1">
        <v>0</v>
      </c>
      <c r="AF143" s="1">
        <v>0</v>
      </c>
      <c r="AG143" s="1">
        <v>0</v>
      </c>
      <c r="AH143" s="1">
        <v>1977051.8518518517</v>
      </c>
      <c r="AI143" s="1">
        <v>4376407.4074074076</v>
      </c>
      <c r="AJ143" s="1">
        <v>7596972.222222222</v>
      </c>
      <c r="AK143" s="1">
        <v>2337638.0952380951</v>
      </c>
      <c r="AL143" s="1">
        <v>1883240.4761904762</v>
      </c>
      <c r="AM143" s="1">
        <v>6155018.4259259254</v>
      </c>
      <c r="AN143" s="1">
        <v>2883154.6164021157</v>
      </c>
      <c r="AO143" s="1">
        <v>13236732.976190478</v>
      </c>
      <c r="AP143" s="1">
        <v>7492100.2380952379</v>
      </c>
      <c r="AQ143" s="1">
        <v>13579329.06084656</v>
      </c>
      <c r="AR143" s="1">
        <v>19508346.719576716</v>
      </c>
      <c r="AS143" s="1">
        <v>14776633.108465608</v>
      </c>
      <c r="AT143" s="1">
        <v>10666755.462962963</v>
      </c>
      <c r="AU143" s="1">
        <v>11680074.417989418</v>
      </c>
      <c r="AV143" s="1">
        <v>13442745.476190476</v>
      </c>
      <c r="AW143" s="1">
        <v>34443373.677248679</v>
      </c>
      <c r="AX143" s="1">
        <v>14381729.047619047</v>
      </c>
      <c r="AY143" s="1">
        <v>25417212.08994709</v>
      </c>
      <c r="AZ143" s="1">
        <v>6923189.8809523797</v>
      </c>
      <c r="BA143" s="1">
        <v>17461576.335978836</v>
      </c>
      <c r="BB143" s="1">
        <v>20191625.224867724</v>
      </c>
      <c r="BC143" s="1">
        <v>23716939.166666664</v>
      </c>
      <c r="BD143" s="1">
        <v>6783741.3227513209</v>
      </c>
      <c r="BE143" s="1">
        <v>15562945.277777776</v>
      </c>
      <c r="BF143" s="1">
        <v>17740749.669312172</v>
      </c>
      <c r="BG143" s="1">
        <v>30968459.642857146</v>
      </c>
      <c r="BH143" s="1">
        <v>35384178.875661373</v>
      </c>
      <c r="BI143" s="1">
        <v>29698035.859788354</v>
      </c>
      <c r="BJ143" s="1">
        <v>33658092.142857134</v>
      </c>
      <c r="BK143" s="1">
        <v>20436742.208994705</v>
      </c>
      <c r="BL143" s="1">
        <v>11420620.806878306</v>
      </c>
      <c r="BM143" s="1">
        <v>34525586.335978828</v>
      </c>
      <c r="BN143" s="1">
        <v>26900752.764550265</v>
      </c>
      <c r="BO143" s="1">
        <v>25620817.724867724</v>
      </c>
      <c r="BP143" s="1">
        <v>9515749.0079365075</v>
      </c>
      <c r="BQ143" s="1">
        <v>18163880.568783071</v>
      </c>
      <c r="BR143" s="1">
        <v>17533647.552910052</v>
      </c>
      <c r="BS143" s="1">
        <v>22068774.140211642</v>
      </c>
      <c r="BT143" s="1">
        <v>30211706.335978832</v>
      </c>
      <c r="BU143" s="1">
        <v>14052560.648148147</v>
      </c>
      <c r="BV143" s="1">
        <v>47877377.06349206</v>
      </c>
      <c r="BW143" s="1">
        <v>23088882.777777776</v>
      </c>
      <c r="BX143" s="1">
        <v>15101184.735449733</v>
      </c>
      <c r="BY143" s="1">
        <v>29358474.841269836</v>
      </c>
      <c r="BZ143" s="1">
        <v>31145689.656084653</v>
      </c>
      <c r="CA143" s="1">
        <v>30918636.944444444</v>
      </c>
      <c r="CB143" s="1">
        <v>19033255.806878306</v>
      </c>
      <c r="CC143" s="1">
        <v>16608237.023809526</v>
      </c>
      <c r="CD143" s="1">
        <v>15522198.095238093</v>
      </c>
      <c r="CE143" s="1">
        <v>24164392.380952381</v>
      </c>
      <c r="CF143" s="1">
        <v>9802857.0899470896</v>
      </c>
      <c r="CG143" s="1">
        <v>31821560.119047619</v>
      </c>
      <c r="CH143" s="1">
        <v>2982101.9444444445</v>
      </c>
      <c r="CI143" s="1">
        <v>51720705.03968253</v>
      </c>
      <c r="CJ143" s="1">
        <v>26609957.539682537</v>
      </c>
      <c r="CK143" s="1">
        <v>14333429.629629629</v>
      </c>
      <c r="CL143" s="1">
        <v>23101543.597883597</v>
      </c>
      <c r="CM143" s="1">
        <v>32839084.510582004</v>
      </c>
      <c r="CN143" s="1">
        <v>28594342.989417985</v>
      </c>
      <c r="CO143" s="1">
        <v>22011687.671957672</v>
      </c>
      <c r="CP143" s="1">
        <v>32810813.452380948</v>
      </c>
      <c r="CQ143" s="1">
        <v>14363807.962962965</v>
      </c>
      <c r="CR143" s="1">
        <v>54584417.671957672</v>
      </c>
      <c r="CS143" s="1">
        <v>71755351.706349209</v>
      </c>
      <c r="CT143" s="1">
        <v>68456163.650793657</v>
      </c>
      <c r="CU143" s="1">
        <v>40123165.026455022</v>
      </c>
      <c r="CV143" s="1">
        <v>28263147.843915343</v>
      </c>
      <c r="CW143" s="1">
        <v>36192333.47883597</v>
      </c>
      <c r="CX143" s="1">
        <v>40140061.997354493</v>
      </c>
      <c r="CY143" s="1">
        <v>43325011.732804224</v>
      </c>
      <c r="CZ143" s="1">
        <v>24602321.746031743</v>
      </c>
      <c r="DA143" s="1">
        <v>32815880.158730153</v>
      </c>
      <c r="DB143" s="1">
        <v>25955204.179894179</v>
      </c>
      <c r="DC143" s="1">
        <v>29138196.296296295</v>
      </c>
      <c r="DD143" s="1">
        <v>0</v>
      </c>
      <c r="DE143" s="1">
        <v>0</v>
      </c>
      <c r="DF143" s="1">
        <v>0</v>
      </c>
      <c r="DH143" s="6">
        <f t="shared" si="65"/>
        <v>1713641911.6402118</v>
      </c>
    </row>
    <row r="144" spans="1:112" x14ac:dyDescent="0.2">
      <c r="A144" s="5" t="s">
        <v>22</v>
      </c>
      <c r="B144" s="5" t="s">
        <v>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>
        <v>8866.07</v>
      </c>
      <c r="AD144" s="1">
        <v>0</v>
      </c>
      <c r="AE144" s="1">
        <v>0</v>
      </c>
      <c r="AF144" s="1">
        <v>0</v>
      </c>
      <c r="AG144" s="1">
        <v>0</v>
      </c>
      <c r="AH144" s="1">
        <v>166072.35999999999</v>
      </c>
      <c r="AI144" s="1">
        <v>367618.22</v>
      </c>
      <c r="AJ144" s="1">
        <v>638145.66999999993</v>
      </c>
      <c r="AK144" s="1">
        <v>196361.60000000001</v>
      </c>
      <c r="AL144" s="1">
        <v>158192.20000000001</v>
      </c>
      <c r="AM144" s="1">
        <v>517021.55000000005</v>
      </c>
      <c r="AN144" s="1">
        <v>242184.99</v>
      </c>
      <c r="AO144" s="1">
        <v>1111885.57</v>
      </c>
      <c r="AP144" s="1">
        <v>629336.42000000004</v>
      </c>
      <c r="AQ144" s="1">
        <v>1140663.6400000001</v>
      </c>
      <c r="AR144" s="1">
        <v>1638701.12</v>
      </c>
      <c r="AS144" s="1">
        <v>1241237.18</v>
      </c>
      <c r="AT144" s="1">
        <v>896007.46</v>
      </c>
      <c r="AU144" s="1">
        <v>981126.25</v>
      </c>
      <c r="AV144" s="1">
        <v>1129190.6199999999</v>
      </c>
      <c r="AW144" s="1">
        <v>2893243.39</v>
      </c>
      <c r="AX144" s="1">
        <v>1208071.24</v>
      </c>
      <c r="AY144" s="1">
        <v>2135045.81</v>
      </c>
      <c r="AZ144" s="1">
        <v>581547.94999999995</v>
      </c>
      <c r="BA144" s="1">
        <v>1466772.4100000001</v>
      </c>
      <c r="BB144" s="1">
        <v>1696096.54</v>
      </c>
      <c r="BC144" s="1">
        <v>1992222.89</v>
      </c>
      <c r="BD144" s="1">
        <v>569834.2699999999</v>
      </c>
      <c r="BE144" s="1">
        <v>1307287.3999999999</v>
      </c>
      <c r="BF144" s="1">
        <v>1490222.98</v>
      </c>
      <c r="BG144" s="1">
        <v>2601350.6100000003</v>
      </c>
      <c r="BH144" s="1">
        <v>2972271.03</v>
      </c>
      <c r="BI144" s="1">
        <v>2494635.0099999998</v>
      </c>
      <c r="BJ144" s="1">
        <v>2827279.7399999998</v>
      </c>
      <c r="BK144" s="1">
        <v>1716686.3499999999</v>
      </c>
      <c r="BL144" s="1">
        <v>959332.15</v>
      </c>
      <c r="BM144" s="1">
        <v>2900149.21</v>
      </c>
      <c r="BN144" s="1">
        <v>2259663.23</v>
      </c>
      <c r="BO144" s="1">
        <v>2152148.69</v>
      </c>
      <c r="BP144" s="1">
        <v>799322.92</v>
      </c>
      <c r="BQ144" s="1">
        <v>1525765.9700000002</v>
      </c>
      <c r="BR144" s="1">
        <v>1472826.4</v>
      </c>
      <c r="BS144" s="1">
        <v>1853777.0300000003</v>
      </c>
      <c r="BT144" s="1">
        <v>2537783.33</v>
      </c>
      <c r="BU144" s="1">
        <v>1180415.0999999999</v>
      </c>
      <c r="BV144" s="1">
        <v>4021699.67</v>
      </c>
      <c r="BW144" s="1">
        <v>1939466.1500000001</v>
      </c>
      <c r="BX144" s="1">
        <v>1268499.5199999998</v>
      </c>
      <c r="BY144" s="1">
        <v>2466111.88</v>
      </c>
      <c r="BZ144" s="1">
        <v>2616237.94</v>
      </c>
      <c r="CA144" s="1">
        <v>2597165.5</v>
      </c>
      <c r="CB144" s="1">
        <v>1598793.49</v>
      </c>
      <c r="CC144" s="1">
        <v>1395091.9100000001</v>
      </c>
      <c r="CD144" s="1">
        <v>1303864.6399999999</v>
      </c>
      <c r="CE144" s="1">
        <v>2029808.96</v>
      </c>
      <c r="CF144" s="1">
        <v>823440</v>
      </c>
      <c r="CG144" s="1">
        <v>2673011.0500000003</v>
      </c>
      <c r="CH144" s="1">
        <v>250496.56</v>
      </c>
      <c r="CI144" s="1">
        <v>4344539.22</v>
      </c>
      <c r="CJ144" s="1">
        <v>2235236.4299999997</v>
      </c>
      <c r="CK144" s="1">
        <v>1204008.08</v>
      </c>
      <c r="CL144" s="1">
        <v>1940529.6600000001</v>
      </c>
      <c r="CM144" s="1">
        <v>2758483.0999999996</v>
      </c>
      <c r="CN144" s="1">
        <v>2401924.8099999996</v>
      </c>
      <c r="CO144" s="1">
        <v>1848981.77</v>
      </c>
      <c r="CP144" s="1">
        <v>2756108.33</v>
      </c>
      <c r="CQ144" s="1">
        <v>1206559.8600000001</v>
      </c>
      <c r="CR144" s="1">
        <v>4585091.09</v>
      </c>
      <c r="CS144" s="1">
        <v>6027449.54</v>
      </c>
      <c r="CT144" s="1">
        <v>5750317.75</v>
      </c>
      <c r="CU144" s="1">
        <v>3370345.86</v>
      </c>
      <c r="CV144" s="1">
        <v>2374104.41</v>
      </c>
      <c r="CW144" s="1">
        <v>3033348.4499999997</v>
      </c>
      <c r="CX144" s="1">
        <v>3371765.2</v>
      </c>
      <c r="CY144" s="1">
        <v>3639300.98</v>
      </c>
      <c r="CZ144" s="1">
        <v>2066595.02</v>
      </c>
      <c r="DA144" s="1">
        <v>2756533.9299999997</v>
      </c>
      <c r="DB144" s="1">
        <v>2180237.15</v>
      </c>
      <c r="DC144" s="1">
        <v>2447608.48</v>
      </c>
      <c r="DD144" s="1">
        <v>0</v>
      </c>
      <c r="DE144" s="1">
        <v>0</v>
      </c>
      <c r="DF144" s="1">
        <v>0</v>
      </c>
      <c r="DH144" s="6">
        <f t="shared" si="65"/>
        <v>143939118.95999998</v>
      </c>
    </row>
    <row r="145" spans="1:112" x14ac:dyDescent="0.2">
      <c r="A145" s="5" t="str">
        <f>A144</f>
        <v>MI</v>
      </c>
      <c r="B145" s="5" t="s">
        <v>41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18549638.999999996</v>
      </c>
      <c r="AN145" s="1">
        <v>20247698.34</v>
      </c>
      <c r="AO145" s="1">
        <v>13289440.389999999</v>
      </c>
      <c r="AP145" s="1">
        <v>9498865.7699999996</v>
      </c>
      <c r="AQ145" s="1">
        <v>9583036.8000000007</v>
      </c>
      <c r="AR145" s="1">
        <v>8188482.0500000017</v>
      </c>
      <c r="AS145" s="1">
        <v>7134205.7800000003</v>
      </c>
      <c r="AT145" s="1">
        <v>8330386.0600000005</v>
      </c>
      <c r="AU145" s="1">
        <v>23658111.060000002</v>
      </c>
      <c r="AV145" s="1">
        <v>19615580.019999996</v>
      </c>
      <c r="AW145" s="1">
        <v>19662014.889999993</v>
      </c>
      <c r="AX145" s="1">
        <v>23826106.380000003</v>
      </c>
      <c r="AY145" s="1">
        <v>15506798.33</v>
      </c>
      <c r="AZ145" s="1">
        <v>26452549.230000004</v>
      </c>
      <c r="BA145" s="1">
        <v>15812643.280000001</v>
      </c>
      <c r="BB145" s="1">
        <v>14039515.920000004</v>
      </c>
      <c r="BC145" s="1">
        <v>11069702.389999997</v>
      </c>
      <c r="BD145" s="1">
        <v>10341964.339999998</v>
      </c>
      <c r="BE145" s="1">
        <v>7580008.419999999</v>
      </c>
      <c r="BF145" s="1">
        <v>7894280.0499999989</v>
      </c>
      <c r="BG145" s="1">
        <v>20623942.43</v>
      </c>
      <c r="BH145" s="1">
        <v>17442066.390000001</v>
      </c>
      <c r="BI145" s="1">
        <v>15187370.770000001</v>
      </c>
      <c r="BJ145" s="1">
        <v>18044909.02</v>
      </c>
      <c r="BK145" s="1">
        <v>15791085.089999996</v>
      </c>
      <c r="BL145" s="1">
        <v>14206012.950000003</v>
      </c>
      <c r="BM145" s="1">
        <v>13139296.699999999</v>
      </c>
      <c r="BN145" s="1">
        <v>11773767.030000001</v>
      </c>
      <c r="BO145" s="1">
        <v>13192001.570000002</v>
      </c>
      <c r="BP145" s="1">
        <v>9070906.2300000004</v>
      </c>
      <c r="BQ145" s="1">
        <v>6106927.3700000001</v>
      </c>
      <c r="BR145" s="1">
        <v>7257701.3399999999</v>
      </c>
      <c r="BS145" s="1">
        <v>25265248.460000001</v>
      </c>
      <c r="BT145" s="1">
        <v>21522440.609999999</v>
      </c>
      <c r="BU145" s="1">
        <v>33632106.119999997</v>
      </c>
      <c r="BV145" s="1">
        <v>25967649.750000004</v>
      </c>
      <c r="BW145" s="1">
        <v>28877505.329999998</v>
      </c>
      <c r="BX145" s="1">
        <v>17573966.609999999</v>
      </c>
      <c r="BY145" s="1">
        <v>15258223.130000001</v>
      </c>
      <c r="BZ145" s="1">
        <v>14093781.98</v>
      </c>
      <c r="CA145" s="1">
        <v>12784961.449999999</v>
      </c>
      <c r="CB145" s="1">
        <v>10919223.01</v>
      </c>
      <c r="CC145" s="1">
        <v>12183918.58</v>
      </c>
      <c r="CD145" s="1">
        <v>11021446.919999998</v>
      </c>
      <c r="CE145" s="1">
        <v>30882319.219999999</v>
      </c>
      <c r="CF145" s="1">
        <v>23178916.620000001</v>
      </c>
      <c r="CG145" s="1">
        <v>21221448.100000001</v>
      </c>
      <c r="CH145" s="1">
        <v>19938552.27</v>
      </c>
      <c r="CI145" s="1">
        <v>28284324.459000003</v>
      </c>
      <c r="CJ145" s="1">
        <v>18746523.719999999</v>
      </c>
      <c r="CK145" s="1">
        <v>18370315.180000003</v>
      </c>
      <c r="CL145" s="1">
        <v>15846335.959999999</v>
      </c>
      <c r="CM145" s="1">
        <v>14365300.619999999</v>
      </c>
      <c r="CN145" s="1">
        <v>14141110.139999999</v>
      </c>
      <c r="CO145" s="1">
        <v>10175614.43</v>
      </c>
      <c r="CP145" s="1">
        <v>15058444.120000001</v>
      </c>
      <c r="CQ145" s="1">
        <v>30365254.999999996</v>
      </c>
      <c r="CR145" s="1">
        <v>24565618.669999998</v>
      </c>
      <c r="CS145" s="1">
        <v>22556435.029999997</v>
      </c>
      <c r="CT145" s="1">
        <v>22888289.320000004</v>
      </c>
      <c r="CU145" s="1">
        <v>21070892.860000003</v>
      </c>
      <c r="CV145" s="1">
        <v>14442604.180000002</v>
      </c>
      <c r="CW145" s="1">
        <v>17330846.969999999</v>
      </c>
      <c r="CX145" s="1">
        <v>43173125.049999997</v>
      </c>
      <c r="CY145" s="1">
        <v>53432100.589999996</v>
      </c>
      <c r="CZ145" s="1">
        <v>19974569.629999995</v>
      </c>
      <c r="DA145" s="1">
        <v>12584550.830999997</v>
      </c>
      <c r="DB145" s="1">
        <v>10406731.890000001</v>
      </c>
      <c r="DC145" s="1">
        <v>30621466.950000007</v>
      </c>
      <c r="DD145" s="1">
        <v>0</v>
      </c>
      <c r="DE145" s="1">
        <v>0</v>
      </c>
      <c r="DF145" s="1">
        <v>0</v>
      </c>
      <c r="DH145" s="6">
        <f t="shared" si="65"/>
        <v>1234839179.1500003</v>
      </c>
    </row>
    <row r="146" spans="1:112" x14ac:dyDescent="0.2">
      <c r="A146" s="5" t="s">
        <v>47</v>
      </c>
      <c r="B146" s="5" t="s">
        <v>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>
        <v>543039131.41999996</v>
      </c>
      <c r="CU146" s="1">
        <v>385138867.63</v>
      </c>
      <c r="CV146" s="1">
        <v>277005417.87</v>
      </c>
      <c r="CW146" s="1">
        <v>329355587.64999998</v>
      </c>
      <c r="CX146" s="1">
        <v>273397862.90000004</v>
      </c>
      <c r="CY146" s="1">
        <v>256364813.80999997</v>
      </c>
      <c r="CZ146" s="1">
        <v>258305875.35999998</v>
      </c>
      <c r="DA146" s="1">
        <v>246804149.48000002</v>
      </c>
      <c r="DB146" s="1">
        <v>207511073.91999999</v>
      </c>
      <c r="DC146" s="1">
        <v>0</v>
      </c>
      <c r="DD146" s="1">
        <v>0</v>
      </c>
      <c r="DE146" s="1">
        <v>0</v>
      </c>
      <c r="DF146" s="1">
        <v>0</v>
      </c>
      <c r="DH146" s="6">
        <f t="shared" si="65"/>
        <v>2776922780.0400004</v>
      </c>
    </row>
    <row r="147" spans="1:112" x14ac:dyDescent="0.2">
      <c r="A147" s="5" t="s">
        <v>47</v>
      </c>
      <c r="B147" s="5" t="s">
        <v>42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>
        <v>538881519.76999998</v>
      </c>
      <c r="CU147" s="1">
        <v>380412197.45999998</v>
      </c>
      <c r="CV147" s="1">
        <v>273285303.91000003</v>
      </c>
      <c r="CW147" s="1">
        <v>324060169.57999998</v>
      </c>
      <c r="CX147" s="1">
        <v>269884804.29000002</v>
      </c>
      <c r="CY147" s="1">
        <v>252593426.88999999</v>
      </c>
      <c r="CZ147" s="1">
        <v>253314948.52999997</v>
      </c>
      <c r="DA147" s="1">
        <v>243537578.54000002</v>
      </c>
      <c r="DB147" s="1">
        <v>204262807.47</v>
      </c>
      <c r="DC147" s="1">
        <v>0</v>
      </c>
      <c r="DD147" s="1">
        <v>0</v>
      </c>
      <c r="DE147" s="1">
        <v>0</v>
      </c>
      <c r="DF147" s="1">
        <v>0</v>
      </c>
      <c r="DH147" s="6">
        <f t="shared" si="65"/>
        <v>2740232756.4400001</v>
      </c>
    </row>
    <row r="148" spans="1:112" x14ac:dyDescent="0.2">
      <c r="A148" s="5" t="s">
        <v>47</v>
      </c>
      <c r="B148" s="5" t="s">
        <v>43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>
        <f t="shared" ref="CT148:DF148" si="71">CT146-CT147</f>
        <v>4157611.6499999762</v>
      </c>
      <c r="CU148" s="1">
        <f t="shared" si="71"/>
        <v>4726670.1700000167</v>
      </c>
      <c r="CV148" s="1">
        <f t="shared" si="71"/>
        <v>3720113.9599999785</v>
      </c>
      <c r="CW148" s="1">
        <f t="shared" si="71"/>
        <v>5295418.0699999928</v>
      </c>
      <c r="CX148" s="1">
        <f t="shared" si="71"/>
        <v>3513058.6100000143</v>
      </c>
      <c r="CY148" s="1">
        <f t="shared" si="71"/>
        <v>3771386.9199999869</v>
      </c>
      <c r="CZ148" s="1">
        <f t="shared" si="71"/>
        <v>4990926.8300000131</v>
      </c>
      <c r="DA148" s="1">
        <f t="shared" si="71"/>
        <v>3266570.9399999976</v>
      </c>
      <c r="DB148" s="1">
        <f t="shared" si="71"/>
        <v>3248266.4499999881</v>
      </c>
      <c r="DC148" s="1">
        <f t="shared" si="71"/>
        <v>0</v>
      </c>
      <c r="DD148" s="1">
        <f t="shared" si="71"/>
        <v>0</v>
      </c>
      <c r="DE148" s="1">
        <f t="shared" si="71"/>
        <v>0</v>
      </c>
      <c r="DF148" s="1">
        <f t="shared" si="71"/>
        <v>0</v>
      </c>
      <c r="DH148" s="6">
        <f t="shared" si="65"/>
        <v>36690023.599999964</v>
      </c>
    </row>
    <row r="149" spans="1:112" x14ac:dyDescent="0.2">
      <c r="A149" s="5" t="s">
        <v>47</v>
      </c>
      <c r="B149" s="5" t="s">
        <v>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>
        <v>105319157.16999996</v>
      </c>
      <c r="CU149" s="1">
        <v>54502113.300000012</v>
      </c>
      <c r="CV149" s="1">
        <v>31292091.729999989</v>
      </c>
      <c r="CW149" s="1">
        <v>35887620.100000024</v>
      </c>
      <c r="CX149" s="1">
        <v>33547596.290000021</v>
      </c>
      <c r="CY149" s="1">
        <v>30405394.169999957</v>
      </c>
      <c r="CZ149" s="1">
        <v>24649945.979999959</v>
      </c>
      <c r="DA149" s="1">
        <v>29194389.230000019</v>
      </c>
      <c r="DB149" s="1">
        <v>23207164.400000006</v>
      </c>
      <c r="DC149" s="1">
        <v>0</v>
      </c>
      <c r="DD149" s="1">
        <v>0</v>
      </c>
      <c r="DE149" s="1">
        <v>0</v>
      </c>
      <c r="DF149" s="1">
        <v>0</v>
      </c>
      <c r="DH149" s="6">
        <f t="shared" si="65"/>
        <v>368005472.37</v>
      </c>
    </row>
    <row r="150" spans="1:112" x14ac:dyDescent="0.2">
      <c r="A150" s="5" t="s">
        <v>47</v>
      </c>
      <c r="B150" s="5" t="s">
        <v>44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>
        <v>104379618.93000001</v>
      </c>
      <c r="CU150" s="1">
        <v>54206551.469999969</v>
      </c>
      <c r="CV150" s="1">
        <v>30885398.51000002</v>
      </c>
      <c r="CW150" s="1">
        <v>35317309.780000031</v>
      </c>
      <c r="CX150" s="1">
        <v>33104371.700000018</v>
      </c>
      <c r="CY150" s="1">
        <v>29929414.459999979</v>
      </c>
      <c r="CZ150" s="1">
        <v>24238205.74999994</v>
      </c>
      <c r="DA150" s="1">
        <v>28573240.170000017</v>
      </c>
      <c r="DB150" s="1">
        <v>22712400.460000008</v>
      </c>
      <c r="DC150" s="1">
        <v>0</v>
      </c>
      <c r="DD150" s="1">
        <v>0</v>
      </c>
      <c r="DE150" s="1">
        <v>0</v>
      </c>
      <c r="DF150" s="1">
        <v>0</v>
      </c>
      <c r="DH150" s="6">
        <f t="shared" si="65"/>
        <v>363346511.23000002</v>
      </c>
    </row>
    <row r="151" spans="1:112" x14ac:dyDescent="0.2">
      <c r="A151" s="5" t="s">
        <v>47</v>
      </c>
      <c r="B151" s="5" t="s">
        <v>45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>
        <f t="shared" ref="CT151:DF151" si="72">CT149-CT150</f>
        <v>939538.23999994993</v>
      </c>
      <c r="CU151" s="1">
        <f t="shared" si="72"/>
        <v>295561.83000004292</v>
      </c>
      <c r="CV151" s="1">
        <f t="shared" si="72"/>
        <v>406693.21999996901</v>
      </c>
      <c r="CW151" s="1">
        <f t="shared" si="72"/>
        <v>570310.31999999285</v>
      </c>
      <c r="CX151" s="1">
        <f t="shared" si="72"/>
        <v>443224.59000000358</v>
      </c>
      <c r="CY151" s="1">
        <f t="shared" si="72"/>
        <v>475979.70999997854</v>
      </c>
      <c r="CZ151" s="1">
        <f t="shared" si="72"/>
        <v>411740.23000001907</v>
      </c>
      <c r="DA151" s="1">
        <f t="shared" si="72"/>
        <v>621149.06000000238</v>
      </c>
      <c r="DB151" s="1">
        <f t="shared" si="72"/>
        <v>494763.93999999762</v>
      </c>
      <c r="DC151" s="1">
        <f t="shared" si="72"/>
        <v>0</v>
      </c>
      <c r="DD151" s="1">
        <f t="shared" si="72"/>
        <v>0</v>
      </c>
      <c r="DE151" s="1">
        <f t="shared" si="72"/>
        <v>0</v>
      </c>
      <c r="DF151" s="1">
        <f t="shared" si="72"/>
        <v>0</v>
      </c>
      <c r="DH151" s="6">
        <f t="shared" si="65"/>
        <v>4658961.1399999559</v>
      </c>
    </row>
    <row r="152" spans="1:112" x14ac:dyDescent="0.2">
      <c r="A152" s="5" t="s">
        <v>47</v>
      </c>
      <c r="B152" s="5" t="s">
        <v>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>
        <v>5212006.9500000048</v>
      </c>
      <c r="CU152" s="1">
        <v>1378728.2</v>
      </c>
      <c r="CV152" s="1">
        <v>12146267.760000002</v>
      </c>
      <c r="CW152" s="1">
        <v>21789845.380000003</v>
      </c>
      <c r="CX152" s="1">
        <v>20284269.899999999</v>
      </c>
      <c r="CY152" s="1">
        <v>21318725.049999982</v>
      </c>
      <c r="CZ152" s="1">
        <v>13739659.25999999</v>
      </c>
      <c r="DA152" s="1">
        <v>21909798.179999992</v>
      </c>
      <c r="DB152" s="1">
        <v>16795392.939999998</v>
      </c>
      <c r="DC152" s="1">
        <v>0</v>
      </c>
      <c r="DD152" s="1">
        <v>0</v>
      </c>
      <c r="DE152" s="1">
        <v>0</v>
      </c>
      <c r="DF152" s="1">
        <v>0</v>
      </c>
      <c r="DH152" s="6">
        <f t="shared" si="65"/>
        <v>134574693.61999995</v>
      </c>
    </row>
    <row r="153" spans="1:112" x14ac:dyDescent="0.2">
      <c r="A153" s="5" t="s">
        <v>47</v>
      </c>
      <c r="B153" s="5" t="s">
        <v>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>
        <v>521323.69200000056</v>
      </c>
      <c r="CU153" s="1">
        <v>137872.81900000013</v>
      </c>
      <c r="CV153" s="1">
        <v>1214626.7760000001</v>
      </c>
      <c r="CW153" s="1">
        <v>2178984.54</v>
      </c>
      <c r="CX153" s="1">
        <v>2028426.99</v>
      </c>
      <c r="CY153" s="1">
        <v>2131872.5099999998</v>
      </c>
      <c r="CZ153" s="1">
        <v>1373965.9299999992</v>
      </c>
      <c r="DA153" s="1">
        <v>2190979.8149999999</v>
      </c>
      <c r="DB153" s="1">
        <v>1679539.3</v>
      </c>
      <c r="DC153" s="1">
        <v>0</v>
      </c>
      <c r="DD153" s="1">
        <v>0</v>
      </c>
      <c r="DE153" s="1">
        <v>0</v>
      </c>
      <c r="DF153" s="1">
        <v>0</v>
      </c>
      <c r="DH153" s="6">
        <f t="shared" si="65"/>
        <v>13457592.372</v>
      </c>
    </row>
    <row r="154" spans="1:112" x14ac:dyDescent="0.2">
      <c r="A154" s="5" t="s">
        <v>47</v>
      </c>
      <c r="B154" s="5" t="s">
        <v>41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>
        <v>125053008.16</v>
      </c>
      <c r="CU154" s="1">
        <v>33127274.880000006</v>
      </c>
      <c r="CV154" s="1">
        <v>11372272.029999999</v>
      </c>
      <c r="CW154" s="1">
        <v>11983651.25</v>
      </c>
      <c r="CX154" s="1">
        <v>10402936.720000001</v>
      </c>
      <c r="CY154" s="1">
        <v>7453290.5300000003</v>
      </c>
      <c r="CZ154" s="1">
        <v>9133198</v>
      </c>
      <c r="DA154" s="1">
        <v>5860640.2599999998</v>
      </c>
      <c r="DB154" s="1">
        <v>5070754.45</v>
      </c>
      <c r="DC154" s="1">
        <v>0</v>
      </c>
      <c r="DD154" s="1">
        <v>0</v>
      </c>
      <c r="DE154" s="1">
        <v>0</v>
      </c>
      <c r="DF154" s="1">
        <v>0</v>
      </c>
      <c r="DH154" s="6">
        <f t="shared" si="65"/>
        <v>219457026.27999997</v>
      </c>
    </row>
    <row r="155" spans="1:112" x14ac:dyDescent="0.2">
      <c r="A155" s="5" t="s">
        <v>23</v>
      </c>
      <c r="B155" s="5" t="s">
        <v>4</v>
      </c>
      <c r="C155" s="1"/>
      <c r="D155" s="1"/>
      <c r="E155" s="1"/>
      <c r="F155" s="1"/>
      <c r="G155" s="1"/>
      <c r="H155" s="1"/>
      <c r="I155" s="1"/>
      <c r="J155" s="1">
        <v>6270127.5099999998</v>
      </c>
      <c r="K155" s="1">
        <v>31770269.829999998</v>
      </c>
      <c r="L155" s="1">
        <v>32837333.82</v>
      </c>
      <c r="M155" s="1">
        <v>44499883.329999998</v>
      </c>
      <c r="N155" s="1">
        <v>41762048.079999998</v>
      </c>
      <c r="O155" s="1">
        <v>35190773.890000001</v>
      </c>
      <c r="P155" s="1">
        <v>25148134.539999999</v>
      </c>
      <c r="Q155" s="1">
        <v>32421264.260000002</v>
      </c>
      <c r="R155" s="1">
        <v>19188763.380000003</v>
      </c>
      <c r="S155" s="1">
        <v>17438287.77</v>
      </c>
      <c r="T155" s="1">
        <v>15190666.460000001</v>
      </c>
      <c r="U155" s="1">
        <v>13383382.610000001</v>
      </c>
      <c r="V155" s="1">
        <v>19876369.789999999</v>
      </c>
      <c r="W155" s="1">
        <v>37870989.460000001</v>
      </c>
      <c r="X155" s="1">
        <v>48019480.920000002</v>
      </c>
      <c r="Y155" s="1">
        <v>56369035.700000003</v>
      </c>
      <c r="Z155" s="1">
        <v>49076432.770000003</v>
      </c>
      <c r="AA155" s="1">
        <v>45190371.350000001</v>
      </c>
      <c r="AB155" s="1">
        <v>34462821.659999996</v>
      </c>
      <c r="AC155" s="1">
        <v>10749402.640000001</v>
      </c>
      <c r="AD155" s="1">
        <v>0</v>
      </c>
      <c r="AE155" s="1">
        <v>236502.91</v>
      </c>
      <c r="AF155" s="1">
        <v>1575858.84</v>
      </c>
      <c r="AG155" s="1">
        <v>7916665.4900000002</v>
      </c>
      <c r="AH155" s="1">
        <v>40489134.829999998</v>
      </c>
      <c r="AI155" s="1">
        <v>52220288.509999998</v>
      </c>
      <c r="AJ155" s="1">
        <v>61192425.25999999</v>
      </c>
      <c r="AK155" s="1">
        <v>54443370.24000001</v>
      </c>
      <c r="AL155" s="1">
        <v>55298807.159999996</v>
      </c>
      <c r="AM155" s="1">
        <v>67707627.700000003</v>
      </c>
      <c r="AN155" s="1">
        <v>47807573.850000001</v>
      </c>
      <c r="AO155" s="1">
        <v>50546885.859999999</v>
      </c>
      <c r="AP155" s="1">
        <v>32917836.379999999</v>
      </c>
      <c r="AQ155" s="1">
        <v>36125895.57</v>
      </c>
      <c r="AR155" s="1">
        <v>43099179.82</v>
      </c>
      <c r="AS155" s="1">
        <v>30659426.300000001</v>
      </c>
      <c r="AT155" s="1">
        <v>21436948.419999998</v>
      </c>
      <c r="AU155" s="1">
        <v>54835753.399999999</v>
      </c>
      <c r="AV155" s="1">
        <v>83527014.739999995</v>
      </c>
      <c r="AW155" s="1">
        <v>60582140.759999998</v>
      </c>
      <c r="AX155" s="1">
        <v>56839743.300000004</v>
      </c>
      <c r="AY155" s="1">
        <v>66523295.040000007</v>
      </c>
      <c r="AZ155" s="1">
        <v>40871618.059999995</v>
      </c>
      <c r="BA155" s="1">
        <v>47889212.549999997</v>
      </c>
      <c r="BB155" s="1">
        <v>35503585.170000002</v>
      </c>
      <c r="BC155" s="1">
        <v>29233786.210000001</v>
      </c>
      <c r="BD155" s="1">
        <v>25096237.730000004</v>
      </c>
      <c r="BE155" s="1">
        <v>18296340.560000002</v>
      </c>
      <c r="BF155" s="1">
        <v>21234897.57</v>
      </c>
      <c r="BG155" s="1">
        <v>43139310.810000002</v>
      </c>
      <c r="BH155" s="1">
        <v>56199188.959999993</v>
      </c>
      <c r="BI155" s="1">
        <v>73605360.710000008</v>
      </c>
      <c r="BJ155" s="1">
        <v>74358932.760000005</v>
      </c>
      <c r="BK155" s="1">
        <v>57223250.630000003</v>
      </c>
      <c r="BL155" s="1">
        <v>39807504.259999998</v>
      </c>
      <c r="BM155" s="1">
        <v>46689391.650000006</v>
      </c>
      <c r="BN155" s="1">
        <v>31805003.880000003</v>
      </c>
      <c r="BO155" s="1">
        <v>26761690.599999998</v>
      </c>
      <c r="BP155" s="1">
        <v>20414901.650000002</v>
      </c>
      <c r="BQ155" s="1">
        <v>17728738.5</v>
      </c>
      <c r="BR155" s="1">
        <v>21392231.380000003</v>
      </c>
      <c r="BS155" s="1">
        <v>51647914.719999999</v>
      </c>
      <c r="BT155" s="1">
        <v>49503678.860000007</v>
      </c>
      <c r="BU155" s="1">
        <v>62412734.659999996</v>
      </c>
      <c r="BV155" s="1">
        <v>48888089.109999999</v>
      </c>
      <c r="BW155" s="1">
        <v>44631975.190000005</v>
      </c>
      <c r="BX155" s="1">
        <v>31374401.969999999</v>
      </c>
      <c r="BY155" s="1">
        <v>44536547.849999994</v>
      </c>
      <c r="BZ155" s="1">
        <v>34259932.559999995</v>
      </c>
      <c r="CA155" s="1">
        <v>27005662.850000001</v>
      </c>
      <c r="CB155" s="1">
        <v>19373327.850000001</v>
      </c>
      <c r="CC155" s="1">
        <v>13919354.01</v>
      </c>
      <c r="CD155" s="1">
        <v>22634556.849999998</v>
      </c>
      <c r="CE155" s="1">
        <v>51767998.25</v>
      </c>
      <c r="CF155" s="1">
        <v>48581328.909999996</v>
      </c>
      <c r="CG155" s="1">
        <v>57887405.990000002</v>
      </c>
      <c r="CH155" s="1">
        <v>56437277.5</v>
      </c>
      <c r="CI155" s="1">
        <v>42524280.379999995</v>
      </c>
      <c r="CJ155" s="1">
        <v>30544101.080000002</v>
      </c>
      <c r="CK155" s="1">
        <v>34455293.18</v>
      </c>
      <c r="CL155" s="1">
        <v>24940446.259999998</v>
      </c>
      <c r="CM155" s="1">
        <v>22587837.27</v>
      </c>
      <c r="CN155" s="1">
        <v>18173188.409999996</v>
      </c>
      <c r="CO155" s="1">
        <v>15036553.48</v>
      </c>
      <c r="CP155" s="1">
        <v>21905769.68</v>
      </c>
      <c r="CQ155" s="1">
        <v>39110337.630000003</v>
      </c>
      <c r="CR155" s="1">
        <v>39251605.839999996</v>
      </c>
      <c r="CS155" s="1">
        <v>51820948.399999991</v>
      </c>
      <c r="CT155" s="1">
        <v>38790396.249999993</v>
      </c>
      <c r="CU155" s="1">
        <v>36661306.269999996</v>
      </c>
      <c r="CV155" s="1">
        <v>21010073.890000001</v>
      </c>
      <c r="CW155" s="1">
        <v>25721106.039999999</v>
      </c>
      <c r="CX155" s="1">
        <v>18820340.059999999</v>
      </c>
      <c r="CY155" s="1">
        <v>17298052.129999999</v>
      </c>
      <c r="CZ155" s="1">
        <v>19653728.550000001</v>
      </c>
      <c r="DA155" s="1">
        <v>12998849.710000001</v>
      </c>
      <c r="DB155" s="1">
        <v>14072493.68</v>
      </c>
      <c r="DC155" s="1">
        <v>34049124.160000004</v>
      </c>
      <c r="DD155" s="1">
        <v>0</v>
      </c>
      <c r="DE155" s="1">
        <v>0</v>
      </c>
      <c r="DF155" s="1">
        <v>0</v>
      </c>
      <c r="DH155" s="6">
        <f t="shared" si="65"/>
        <v>3514237417.269999</v>
      </c>
    </row>
    <row r="156" spans="1:112" x14ac:dyDescent="0.2">
      <c r="A156" s="5" t="s">
        <v>23</v>
      </c>
      <c r="B156" s="5" t="s">
        <v>42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H156" s="6">
        <f t="shared" si="65"/>
        <v>0</v>
      </c>
    </row>
    <row r="157" spans="1:112" x14ac:dyDescent="0.2">
      <c r="A157" s="5" t="s">
        <v>23</v>
      </c>
      <c r="B157" s="5" t="s">
        <v>43</v>
      </c>
      <c r="C157" s="1"/>
      <c r="D157" s="1"/>
      <c r="E157" s="1"/>
      <c r="F157" s="1"/>
      <c r="G157" s="1"/>
      <c r="H157" s="1"/>
      <c r="I157" s="1"/>
      <c r="J157" s="1">
        <f t="shared" ref="J157:BU157" si="73">J155-J156</f>
        <v>6270127.5099999998</v>
      </c>
      <c r="K157" s="1">
        <f t="shared" si="73"/>
        <v>31770269.829999998</v>
      </c>
      <c r="L157" s="1">
        <f t="shared" si="73"/>
        <v>32837333.82</v>
      </c>
      <c r="M157" s="1">
        <f t="shared" si="73"/>
        <v>44499883.329999998</v>
      </c>
      <c r="N157" s="1">
        <f t="shared" si="73"/>
        <v>41762048.079999998</v>
      </c>
      <c r="O157" s="1">
        <f t="shared" si="73"/>
        <v>35190773.890000001</v>
      </c>
      <c r="P157" s="1">
        <f t="shared" si="73"/>
        <v>25148134.539999999</v>
      </c>
      <c r="Q157" s="1">
        <f t="shared" si="73"/>
        <v>32421264.260000002</v>
      </c>
      <c r="R157" s="1">
        <f t="shared" si="73"/>
        <v>19188763.380000003</v>
      </c>
      <c r="S157" s="1">
        <f t="shared" si="73"/>
        <v>17438287.77</v>
      </c>
      <c r="T157" s="1">
        <f t="shared" si="73"/>
        <v>15190666.460000001</v>
      </c>
      <c r="U157" s="1">
        <f t="shared" si="73"/>
        <v>13383382.610000001</v>
      </c>
      <c r="V157" s="1">
        <f t="shared" si="73"/>
        <v>19876369.789999999</v>
      </c>
      <c r="W157" s="1">
        <f t="shared" si="73"/>
        <v>37870989.460000001</v>
      </c>
      <c r="X157" s="1">
        <f t="shared" si="73"/>
        <v>48019480.920000002</v>
      </c>
      <c r="Y157" s="1">
        <f t="shared" si="73"/>
        <v>56369035.700000003</v>
      </c>
      <c r="Z157" s="1">
        <f t="shared" si="73"/>
        <v>49076432.770000003</v>
      </c>
      <c r="AA157" s="1">
        <f t="shared" si="73"/>
        <v>45190371.350000001</v>
      </c>
      <c r="AB157" s="1">
        <f t="shared" si="73"/>
        <v>34462821.659999996</v>
      </c>
      <c r="AC157" s="1">
        <f t="shared" si="73"/>
        <v>10749402.640000001</v>
      </c>
      <c r="AD157" s="1">
        <f t="shared" si="73"/>
        <v>0</v>
      </c>
      <c r="AE157" s="1">
        <f t="shared" si="73"/>
        <v>236502.91</v>
      </c>
      <c r="AF157" s="1">
        <f t="shared" si="73"/>
        <v>1575858.84</v>
      </c>
      <c r="AG157" s="1">
        <f t="shared" si="73"/>
        <v>7916665.4900000002</v>
      </c>
      <c r="AH157" s="1">
        <f t="shared" si="73"/>
        <v>40489134.829999998</v>
      </c>
      <c r="AI157" s="1">
        <f t="shared" si="73"/>
        <v>52220288.509999998</v>
      </c>
      <c r="AJ157" s="1">
        <f t="shared" si="73"/>
        <v>61192425.25999999</v>
      </c>
      <c r="AK157" s="1">
        <f t="shared" si="73"/>
        <v>54443370.24000001</v>
      </c>
      <c r="AL157" s="1">
        <f t="shared" si="73"/>
        <v>55298807.159999996</v>
      </c>
      <c r="AM157" s="1">
        <f t="shared" si="73"/>
        <v>67707627.700000003</v>
      </c>
      <c r="AN157" s="1">
        <f t="shared" si="73"/>
        <v>47807573.850000001</v>
      </c>
      <c r="AO157" s="1">
        <f t="shared" si="73"/>
        <v>50546885.859999999</v>
      </c>
      <c r="AP157" s="1">
        <f t="shared" si="73"/>
        <v>32917836.379999999</v>
      </c>
      <c r="AQ157" s="1">
        <f t="shared" si="73"/>
        <v>36125895.57</v>
      </c>
      <c r="AR157" s="1">
        <f t="shared" si="73"/>
        <v>43099179.82</v>
      </c>
      <c r="AS157" s="1">
        <f t="shared" si="73"/>
        <v>30659426.300000001</v>
      </c>
      <c r="AT157" s="1">
        <f t="shared" si="73"/>
        <v>21436948.419999998</v>
      </c>
      <c r="AU157" s="1">
        <f t="shared" si="73"/>
        <v>54835753.399999999</v>
      </c>
      <c r="AV157" s="1">
        <f t="shared" si="73"/>
        <v>83527014.739999995</v>
      </c>
      <c r="AW157" s="1">
        <f t="shared" si="73"/>
        <v>60582140.759999998</v>
      </c>
      <c r="AX157" s="1">
        <f t="shared" si="73"/>
        <v>56839743.300000004</v>
      </c>
      <c r="AY157" s="1">
        <f t="shared" si="73"/>
        <v>66523295.040000007</v>
      </c>
      <c r="AZ157" s="1">
        <f t="shared" si="73"/>
        <v>40871618.059999995</v>
      </c>
      <c r="BA157" s="1">
        <f t="shared" si="73"/>
        <v>47889212.549999997</v>
      </c>
      <c r="BB157" s="1">
        <f t="shared" si="73"/>
        <v>35503585.170000002</v>
      </c>
      <c r="BC157" s="1">
        <f t="shared" si="73"/>
        <v>29233786.210000001</v>
      </c>
      <c r="BD157" s="1">
        <f t="shared" si="73"/>
        <v>25096237.730000004</v>
      </c>
      <c r="BE157" s="1">
        <f t="shared" si="73"/>
        <v>18296340.560000002</v>
      </c>
      <c r="BF157" s="1">
        <f t="shared" si="73"/>
        <v>21234897.57</v>
      </c>
      <c r="BG157" s="1">
        <f t="shared" si="73"/>
        <v>43139310.810000002</v>
      </c>
      <c r="BH157" s="1">
        <f t="shared" si="73"/>
        <v>56199188.959999993</v>
      </c>
      <c r="BI157" s="1">
        <f t="shared" si="73"/>
        <v>73605360.710000008</v>
      </c>
      <c r="BJ157" s="1">
        <f t="shared" si="73"/>
        <v>74358932.760000005</v>
      </c>
      <c r="BK157" s="1">
        <f t="shared" si="73"/>
        <v>57223250.630000003</v>
      </c>
      <c r="BL157" s="1">
        <f t="shared" si="73"/>
        <v>39807504.259999998</v>
      </c>
      <c r="BM157" s="1">
        <f t="shared" si="73"/>
        <v>46689391.650000006</v>
      </c>
      <c r="BN157" s="1">
        <f t="shared" si="73"/>
        <v>31805003.880000003</v>
      </c>
      <c r="BO157" s="1">
        <f t="shared" si="73"/>
        <v>26761690.599999998</v>
      </c>
      <c r="BP157" s="1">
        <f t="shared" si="73"/>
        <v>20414901.650000002</v>
      </c>
      <c r="BQ157" s="1">
        <f t="shared" si="73"/>
        <v>17728738.5</v>
      </c>
      <c r="BR157" s="1">
        <f t="shared" si="73"/>
        <v>21392231.380000003</v>
      </c>
      <c r="BS157" s="1">
        <f t="shared" si="73"/>
        <v>51647914.719999999</v>
      </c>
      <c r="BT157" s="1">
        <f t="shared" si="73"/>
        <v>49503678.860000007</v>
      </c>
      <c r="BU157" s="1">
        <f t="shared" si="73"/>
        <v>62412734.659999996</v>
      </c>
      <c r="BV157" s="1">
        <f t="shared" ref="BV157:DF157" si="74">BV155-BV156</f>
        <v>48888089.109999999</v>
      </c>
      <c r="BW157" s="1">
        <f t="shared" si="74"/>
        <v>44631975.190000005</v>
      </c>
      <c r="BX157" s="1">
        <f t="shared" si="74"/>
        <v>31374401.969999999</v>
      </c>
      <c r="BY157" s="1">
        <f t="shared" si="74"/>
        <v>44536547.849999994</v>
      </c>
      <c r="BZ157" s="1">
        <f t="shared" si="74"/>
        <v>34259932.559999995</v>
      </c>
      <c r="CA157" s="1">
        <f t="shared" si="74"/>
        <v>27005662.850000001</v>
      </c>
      <c r="CB157" s="1">
        <f t="shared" si="74"/>
        <v>19373327.850000001</v>
      </c>
      <c r="CC157" s="1">
        <f t="shared" si="74"/>
        <v>13919354.01</v>
      </c>
      <c r="CD157" s="1">
        <f t="shared" si="74"/>
        <v>22634556.849999998</v>
      </c>
      <c r="CE157" s="1">
        <f t="shared" si="74"/>
        <v>51767998.25</v>
      </c>
      <c r="CF157" s="1">
        <f t="shared" si="74"/>
        <v>48581328.909999996</v>
      </c>
      <c r="CG157" s="1">
        <f t="shared" si="74"/>
        <v>57887405.990000002</v>
      </c>
      <c r="CH157" s="1">
        <f t="shared" si="74"/>
        <v>56437277.5</v>
      </c>
      <c r="CI157" s="1">
        <f t="shared" si="74"/>
        <v>42524280.379999995</v>
      </c>
      <c r="CJ157" s="1">
        <f t="shared" si="74"/>
        <v>30544101.080000002</v>
      </c>
      <c r="CK157" s="1">
        <f t="shared" si="74"/>
        <v>34455293.18</v>
      </c>
      <c r="CL157" s="1">
        <f t="shared" si="74"/>
        <v>24940446.259999998</v>
      </c>
      <c r="CM157" s="1">
        <f t="shared" si="74"/>
        <v>22587837.27</v>
      </c>
      <c r="CN157" s="1">
        <f t="shared" si="74"/>
        <v>18173188.409999996</v>
      </c>
      <c r="CO157" s="1">
        <f t="shared" si="74"/>
        <v>15036553.48</v>
      </c>
      <c r="CP157" s="1">
        <f t="shared" si="74"/>
        <v>21905769.68</v>
      </c>
      <c r="CQ157" s="1">
        <f t="shared" si="74"/>
        <v>39110337.630000003</v>
      </c>
      <c r="CR157" s="1">
        <f t="shared" si="74"/>
        <v>39251605.839999996</v>
      </c>
      <c r="CS157" s="1">
        <f t="shared" si="74"/>
        <v>51820948.399999991</v>
      </c>
      <c r="CT157" s="1">
        <f t="shared" si="74"/>
        <v>38790396.249999993</v>
      </c>
      <c r="CU157" s="1">
        <f t="shared" si="74"/>
        <v>36661306.269999996</v>
      </c>
      <c r="CV157" s="1">
        <f t="shared" si="74"/>
        <v>21010073.890000001</v>
      </c>
      <c r="CW157" s="1">
        <f t="shared" si="74"/>
        <v>25721106.039999999</v>
      </c>
      <c r="CX157" s="1">
        <f t="shared" si="74"/>
        <v>18820340.059999999</v>
      </c>
      <c r="CY157" s="1">
        <f t="shared" si="74"/>
        <v>17298052.129999999</v>
      </c>
      <c r="CZ157" s="1">
        <f t="shared" si="74"/>
        <v>19653728.550000001</v>
      </c>
      <c r="DA157" s="1">
        <f t="shared" si="74"/>
        <v>12998849.710000001</v>
      </c>
      <c r="DB157" s="1">
        <f t="shared" si="74"/>
        <v>14072493.68</v>
      </c>
      <c r="DC157" s="1">
        <f t="shared" si="74"/>
        <v>34049124.160000004</v>
      </c>
      <c r="DD157" s="1">
        <f t="shared" si="74"/>
        <v>0</v>
      </c>
      <c r="DE157" s="1">
        <f t="shared" si="74"/>
        <v>0</v>
      </c>
      <c r="DF157" s="1">
        <f t="shared" si="74"/>
        <v>0</v>
      </c>
      <c r="DH157" s="6">
        <f t="shared" si="65"/>
        <v>3514237417.269999</v>
      </c>
    </row>
    <row r="158" spans="1:112" x14ac:dyDescent="0.2">
      <c r="A158" s="5" t="s">
        <v>23</v>
      </c>
      <c r="B158" s="5" t="s">
        <v>5</v>
      </c>
      <c r="C158" s="1"/>
      <c r="D158" s="1"/>
      <c r="E158" s="1"/>
      <c r="F158" s="1"/>
      <c r="G158" s="1"/>
      <c r="H158" s="1"/>
      <c r="I158" s="1"/>
      <c r="J158" s="1">
        <v>645057.15</v>
      </c>
      <c r="K158" s="1">
        <v>5503792.8700000001</v>
      </c>
      <c r="L158" s="1">
        <v>1178343.4099999999</v>
      </c>
      <c r="M158" s="1">
        <v>1674250.42</v>
      </c>
      <c r="N158" s="1">
        <v>6174223.8099999996</v>
      </c>
      <c r="O158" s="1">
        <v>2793237.9</v>
      </c>
      <c r="P158" s="1">
        <v>2756439.08</v>
      </c>
      <c r="Q158" s="1">
        <v>4898725.6399999997</v>
      </c>
      <c r="R158" s="1">
        <v>2057834.4</v>
      </c>
      <c r="S158" s="1">
        <v>1191967.1200000001</v>
      </c>
      <c r="T158" s="1">
        <v>1625113.3199999998</v>
      </c>
      <c r="U158" s="1">
        <v>1053776.1200000001</v>
      </c>
      <c r="V158" s="1">
        <v>2884348.3899999997</v>
      </c>
      <c r="W158" s="1">
        <v>5631583.1299999999</v>
      </c>
      <c r="X158" s="1">
        <v>12295357.26</v>
      </c>
      <c r="Y158" s="1">
        <v>3784070.6</v>
      </c>
      <c r="Z158" s="1">
        <v>3478918.84</v>
      </c>
      <c r="AA158" s="1">
        <v>4637966.72</v>
      </c>
      <c r="AB158" s="1">
        <v>2105779.5699999998</v>
      </c>
      <c r="AC158" s="1">
        <v>648646.6</v>
      </c>
      <c r="AD158" s="1">
        <v>0</v>
      </c>
      <c r="AE158" s="1">
        <v>87697.08</v>
      </c>
      <c r="AF158" s="1">
        <v>-62230.77</v>
      </c>
      <c r="AG158" s="1">
        <v>1335762.7</v>
      </c>
      <c r="AH158" s="1">
        <v>3748731.9</v>
      </c>
      <c r="AI158" s="1">
        <v>6598930.6999999993</v>
      </c>
      <c r="AJ158" s="1">
        <v>8769600.2200000007</v>
      </c>
      <c r="AK158" s="1">
        <v>8108101.8699999992</v>
      </c>
      <c r="AL158" s="1">
        <v>7762542.3899999997</v>
      </c>
      <c r="AM158" s="1">
        <v>9114482.8800000008</v>
      </c>
      <c r="AN158" s="1">
        <v>4606839.71</v>
      </c>
      <c r="AO158" s="1">
        <v>5237030.5100000007</v>
      </c>
      <c r="AP158" s="1">
        <v>4300968.03</v>
      </c>
      <c r="AQ158" s="1">
        <v>3888299.05</v>
      </c>
      <c r="AR158" s="1">
        <v>3194316.6999999997</v>
      </c>
      <c r="AS158" s="1">
        <v>2887694.85</v>
      </c>
      <c r="AT158" s="1">
        <v>1886404.63</v>
      </c>
      <c r="AU158" s="1">
        <v>8846121.3899999987</v>
      </c>
      <c r="AV158" s="1">
        <v>9146353.4900000002</v>
      </c>
      <c r="AW158" s="1">
        <v>9520845.9600000009</v>
      </c>
      <c r="AX158" s="1">
        <v>3238730.1300000004</v>
      </c>
      <c r="AY158" s="1">
        <v>6521389.0800000001</v>
      </c>
      <c r="AZ158" s="1">
        <v>1887994.7200000002</v>
      </c>
      <c r="BA158" s="1">
        <v>4042432.0300000003</v>
      </c>
      <c r="BB158" s="1">
        <v>4209290.41</v>
      </c>
      <c r="BC158" s="1">
        <v>4006358.74</v>
      </c>
      <c r="BD158" s="1">
        <v>2082091.13</v>
      </c>
      <c r="BE158" s="1">
        <v>2527212.1300000004</v>
      </c>
      <c r="BF158" s="1">
        <v>2687464.57</v>
      </c>
      <c r="BG158" s="1">
        <v>8779943.4399999995</v>
      </c>
      <c r="BH158" s="1">
        <v>7687182.6900000004</v>
      </c>
      <c r="BI158" s="1">
        <v>5087584.83</v>
      </c>
      <c r="BJ158" s="1">
        <v>11297380.75</v>
      </c>
      <c r="BK158" s="1">
        <v>5117380.3</v>
      </c>
      <c r="BL158" s="1">
        <v>3143541.3400000008</v>
      </c>
      <c r="BM158" s="1">
        <v>4953171.25</v>
      </c>
      <c r="BN158" s="1">
        <v>4347138.17</v>
      </c>
      <c r="BO158" s="1">
        <v>3180952.77</v>
      </c>
      <c r="BP158" s="1">
        <v>1848676.33</v>
      </c>
      <c r="BQ158" s="1">
        <v>2463671.42</v>
      </c>
      <c r="BR158" s="1">
        <v>2691243.6</v>
      </c>
      <c r="BS158" s="1">
        <v>8144027.54</v>
      </c>
      <c r="BT158" s="1">
        <v>7344506.2599999998</v>
      </c>
      <c r="BU158" s="1">
        <v>3103061.0600000005</v>
      </c>
      <c r="BV158" s="1">
        <v>4886770.99</v>
      </c>
      <c r="BW158" s="1">
        <v>6670919.9499999993</v>
      </c>
      <c r="BX158" s="1">
        <v>2297096.12</v>
      </c>
      <c r="BY158" s="1">
        <v>3362903.13</v>
      </c>
      <c r="BZ158" s="1">
        <v>3123103.95</v>
      </c>
      <c r="CA158" s="1">
        <v>2058985.8099999998</v>
      </c>
      <c r="CB158" s="1">
        <v>1942407.17</v>
      </c>
      <c r="CC158" s="1">
        <v>1876206.15</v>
      </c>
      <c r="CD158" s="1">
        <v>3184652.91</v>
      </c>
      <c r="CE158" s="1">
        <v>7043852.2699999986</v>
      </c>
      <c r="CF158" s="1">
        <v>2864364.54</v>
      </c>
      <c r="CG158" s="1">
        <v>8048595.9100000001</v>
      </c>
      <c r="CH158" s="1">
        <v>-871100.08</v>
      </c>
      <c r="CI158" s="1">
        <v>5083475.0900000008</v>
      </c>
      <c r="CJ158" s="1">
        <v>1294774.8500000001</v>
      </c>
      <c r="CK158" s="1">
        <v>1910770.19</v>
      </c>
      <c r="CL158" s="1">
        <v>3689185.9600000004</v>
      </c>
      <c r="CM158" s="1">
        <v>3412047.6599999997</v>
      </c>
      <c r="CN158" s="1">
        <v>2745322.0100000002</v>
      </c>
      <c r="CO158" s="1">
        <v>2625778.69</v>
      </c>
      <c r="CP158" s="1">
        <v>3804858</v>
      </c>
      <c r="CQ158" s="1">
        <v>6846454.2299999995</v>
      </c>
      <c r="CR158" s="1">
        <v>4111229.5700000003</v>
      </c>
      <c r="CS158" s="1">
        <v>9856996.5099999998</v>
      </c>
      <c r="CT158" s="1">
        <v>4377930.16</v>
      </c>
      <c r="CU158" s="1">
        <v>4076613.6099999994</v>
      </c>
      <c r="CV158" s="1">
        <v>3454405.2399999998</v>
      </c>
      <c r="CW158" s="1">
        <v>3583486.68</v>
      </c>
      <c r="CX158" s="1">
        <v>2852047.41</v>
      </c>
      <c r="CY158" s="1">
        <v>1935113.39</v>
      </c>
      <c r="CZ158" s="1">
        <v>2360934.83</v>
      </c>
      <c r="DA158" s="1">
        <v>1625019.54</v>
      </c>
      <c r="DB158" s="1">
        <v>2102515.41</v>
      </c>
      <c r="DC158" s="1">
        <v>3623916.4699999997</v>
      </c>
      <c r="DD158" s="1">
        <v>0</v>
      </c>
      <c r="DE158" s="1">
        <v>0</v>
      </c>
      <c r="DF158" s="1">
        <v>0</v>
      </c>
      <c r="DH158" s="6">
        <f t="shared" si="65"/>
        <v>398251984.65000021</v>
      </c>
    </row>
    <row r="159" spans="1:112" x14ac:dyDescent="0.2">
      <c r="A159" s="5" t="s">
        <v>23</v>
      </c>
      <c r="B159" s="5" t="s">
        <v>44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H159" s="6">
        <f t="shared" si="65"/>
        <v>0</v>
      </c>
    </row>
    <row r="160" spans="1:112" x14ac:dyDescent="0.2">
      <c r="A160" s="5" t="s">
        <v>23</v>
      </c>
      <c r="B160" s="5" t="s">
        <v>45</v>
      </c>
      <c r="C160" s="1"/>
      <c r="D160" s="1"/>
      <c r="E160" s="1"/>
      <c r="F160" s="1"/>
      <c r="G160" s="1"/>
      <c r="H160" s="1"/>
      <c r="I160" s="1"/>
      <c r="J160" s="1">
        <f t="shared" ref="J160:BU160" si="75">J158-J159</f>
        <v>645057.15</v>
      </c>
      <c r="K160" s="1">
        <f t="shared" si="75"/>
        <v>5503792.8700000001</v>
      </c>
      <c r="L160" s="1">
        <f t="shared" si="75"/>
        <v>1178343.4099999999</v>
      </c>
      <c r="M160" s="1">
        <f t="shared" si="75"/>
        <v>1674250.42</v>
      </c>
      <c r="N160" s="1">
        <f t="shared" si="75"/>
        <v>6174223.8099999996</v>
      </c>
      <c r="O160" s="1">
        <f t="shared" si="75"/>
        <v>2793237.9</v>
      </c>
      <c r="P160" s="1">
        <f t="shared" si="75"/>
        <v>2756439.08</v>
      </c>
      <c r="Q160" s="1">
        <f t="shared" si="75"/>
        <v>4898725.6399999997</v>
      </c>
      <c r="R160" s="1">
        <f t="shared" si="75"/>
        <v>2057834.4</v>
      </c>
      <c r="S160" s="1">
        <f t="shared" si="75"/>
        <v>1191967.1200000001</v>
      </c>
      <c r="T160" s="1">
        <f t="shared" si="75"/>
        <v>1625113.3199999998</v>
      </c>
      <c r="U160" s="1">
        <f t="shared" si="75"/>
        <v>1053776.1200000001</v>
      </c>
      <c r="V160" s="1">
        <f t="shared" si="75"/>
        <v>2884348.3899999997</v>
      </c>
      <c r="W160" s="1">
        <f t="shared" si="75"/>
        <v>5631583.1299999999</v>
      </c>
      <c r="X160" s="1">
        <f t="shared" si="75"/>
        <v>12295357.26</v>
      </c>
      <c r="Y160" s="1">
        <f t="shared" si="75"/>
        <v>3784070.6</v>
      </c>
      <c r="Z160" s="1">
        <f t="shared" si="75"/>
        <v>3478918.84</v>
      </c>
      <c r="AA160" s="1">
        <f t="shared" si="75"/>
        <v>4637966.72</v>
      </c>
      <c r="AB160" s="1">
        <f t="shared" si="75"/>
        <v>2105779.5699999998</v>
      </c>
      <c r="AC160" s="1">
        <f t="shared" si="75"/>
        <v>648646.6</v>
      </c>
      <c r="AD160" s="1">
        <f t="shared" si="75"/>
        <v>0</v>
      </c>
      <c r="AE160" s="1">
        <f t="shared" si="75"/>
        <v>87697.08</v>
      </c>
      <c r="AF160" s="1">
        <f t="shared" si="75"/>
        <v>-62230.77</v>
      </c>
      <c r="AG160" s="1">
        <f t="shared" si="75"/>
        <v>1335762.7</v>
      </c>
      <c r="AH160" s="1">
        <f t="shared" si="75"/>
        <v>3748731.9</v>
      </c>
      <c r="AI160" s="1">
        <f t="shared" si="75"/>
        <v>6598930.6999999993</v>
      </c>
      <c r="AJ160" s="1">
        <f t="shared" si="75"/>
        <v>8769600.2200000007</v>
      </c>
      <c r="AK160" s="1">
        <f t="shared" si="75"/>
        <v>8108101.8699999992</v>
      </c>
      <c r="AL160" s="1">
        <f t="shared" si="75"/>
        <v>7762542.3899999997</v>
      </c>
      <c r="AM160" s="1">
        <f t="shared" si="75"/>
        <v>9114482.8800000008</v>
      </c>
      <c r="AN160" s="1">
        <f t="shared" si="75"/>
        <v>4606839.71</v>
      </c>
      <c r="AO160" s="1">
        <f t="shared" si="75"/>
        <v>5237030.5100000007</v>
      </c>
      <c r="AP160" s="1">
        <f t="shared" si="75"/>
        <v>4300968.03</v>
      </c>
      <c r="AQ160" s="1">
        <f t="shared" si="75"/>
        <v>3888299.05</v>
      </c>
      <c r="AR160" s="1">
        <f t="shared" si="75"/>
        <v>3194316.6999999997</v>
      </c>
      <c r="AS160" s="1">
        <f t="shared" si="75"/>
        <v>2887694.85</v>
      </c>
      <c r="AT160" s="1">
        <f t="shared" si="75"/>
        <v>1886404.63</v>
      </c>
      <c r="AU160" s="1">
        <f t="shared" si="75"/>
        <v>8846121.3899999987</v>
      </c>
      <c r="AV160" s="1">
        <f t="shared" si="75"/>
        <v>9146353.4900000002</v>
      </c>
      <c r="AW160" s="1">
        <f t="shared" si="75"/>
        <v>9520845.9600000009</v>
      </c>
      <c r="AX160" s="1">
        <f t="shared" si="75"/>
        <v>3238730.1300000004</v>
      </c>
      <c r="AY160" s="1">
        <f t="shared" si="75"/>
        <v>6521389.0800000001</v>
      </c>
      <c r="AZ160" s="1">
        <f t="shared" si="75"/>
        <v>1887994.7200000002</v>
      </c>
      <c r="BA160" s="1">
        <f t="shared" si="75"/>
        <v>4042432.0300000003</v>
      </c>
      <c r="BB160" s="1">
        <f t="shared" si="75"/>
        <v>4209290.41</v>
      </c>
      <c r="BC160" s="1">
        <f t="shared" si="75"/>
        <v>4006358.74</v>
      </c>
      <c r="BD160" s="1">
        <f t="shared" si="75"/>
        <v>2082091.13</v>
      </c>
      <c r="BE160" s="1">
        <f t="shared" si="75"/>
        <v>2527212.1300000004</v>
      </c>
      <c r="BF160" s="1">
        <f t="shared" si="75"/>
        <v>2687464.57</v>
      </c>
      <c r="BG160" s="1">
        <f t="shared" si="75"/>
        <v>8779943.4399999995</v>
      </c>
      <c r="BH160" s="1">
        <f t="shared" si="75"/>
        <v>7687182.6900000004</v>
      </c>
      <c r="BI160" s="1">
        <f t="shared" si="75"/>
        <v>5087584.83</v>
      </c>
      <c r="BJ160" s="1">
        <f t="shared" si="75"/>
        <v>11297380.75</v>
      </c>
      <c r="BK160" s="1">
        <f t="shared" si="75"/>
        <v>5117380.3</v>
      </c>
      <c r="BL160" s="1">
        <f t="shared" si="75"/>
        <v>3143541.3400000008</v>
      </c>
      <c r="BM160" s="1">
        <f t="shared" si="75"/>
        <v>4953171.25</v>
      </c>
      <c r="BN160" s="1">
        <f t="shared" si="75"/>
        <v>4347138.17</v>
      </c>
      <c r="BO160" s="1">
        <f t="shared" si="75"/>
        <v>3180952.77</v>
      </c>
      <c r="BP160" s="1">
        <f t="shared" si="75"/>
        <v>1848676.33</v>
      </c>
      <c r="BQ160" s="1">
        <f t="shared" si="75"/>
        <v>2463671.42</v>
      </c>
      <c r="BR160" s="1">
        <f t="shared" si="75"/>
        <v>2691243.6</v>
      </c>
      <c r="BS160" s="1">
        <f t="shared" si="75"/>
        <v>8144027.54</v>
      </c>
      <c r="BT160" s="1">
        <f t="shared" si="75"/>
        <v>7344506.2599999998</v>
      </c>
      <c r="BU160" s="1">
        <f t="shared" si="75"/>
        <v>3103061.0600000005</v>
      </c>
      <c r="BV160" s="1">
        <f t="shared" ref="BV160:DF160" si="76">BV158-BV159</f>
        <v>4886770.99</v>
      </c>
      <c r="BW160" s="1">
        <f t="shared" si="76"/>
        <v>6670919.9499999993</v>
      </c>
      <c r="BX160" s="1">
        <f t="shared" si="76"/>
        <v>2297096.12</v>
      </c>
      <c r="BY160" s="1">
        <f t="shared" si="76"/>
        <v>3362903.13</v>
      </c>
      <c r="BZ160" s="1">
        <f t="shared" si="76"/>
        <v>3123103.95</v>
      </c>
      <c r="CA160" s="1">
        <f t="shared" si="76"/>
        <v>2058985.8099999998</v>
      </c>
      <c r="CB160" s="1">
        <f t="shared" si="76"/>
        <v>1942407.17</v>
      </c>
      <c r="CC160" s="1">
        <f t="shared" si="76"/>
        <v>1876206.15</v>
      </c>
      <c r="CD160" s="1">
        <f t="shared" si="76"/>
        <v>3184652.91</v>
      </c>
      <c r="CE160" s="1">
        <f t="shared" si="76"/>
        <v>7043852.2699999986</v>
      </c>
      <c r="CF160" s="1">
        <f t="shared" si="76"/>
        <v>2864364.54</v>
      </c>
      <c r="CG160" s="1">
        <f t="shared" si="76"/>
        <v>8048595.9100000001</v>
      </c>
      <c r="CH160" s="1">
        <f t="shared" si="76"/>
        <v>-871100.08</v>
      </c>
      <c r="CI160" s="1">
        <f t="shared" si="76"/>
        <v>5083475.0900000008</v>
      </c>
      <c r="CJ160" s="1">
        <f t="shared" si="76"/>
        <v>1294774.8500000001</v>
      </c>
      <c r="CK160" s="1">
        <f t="shared" si="76"/>
        <v>1910770.19</v>
      </c>
      <c r="CL160" s="1">
        <f t="shared" si="76"/>
        <v>3689185.9600000004</v>
      </c>
      <c r="CM160" s="1">
        <f t="shared" si="76"/>
        <v>3412047.6599999997</v>
      </c>
      <c r="CN160" s="1">
        <f t="shared" si="76"/>
        <v>2745322.0100000002</v>
      </c>
      <c r="CO160" s="1">
        <f t="shared" si="76"/>
        <v>2625778.69</v>
      </c>
      <c r="CP160" s="1">
        <f t="shared" si="76"/>
        <v>3804858</v>
      </c>
      <c r="CQ160" s="1">
        <f t="shared" si="76"/>
        <v>6846454.2299999995</v>
      </c>
      <c r="CR160" s="1">
        <f t="shared" si="76"/>
        <v>4111229.5700000003</v>
      </c>
      <c r="CS160" s="1">
        <f t="shared" si="76"/>
        <v>9856996.5099999998</v>
      </c>
      <c r="CT160" s="1">
        <f t="shared" si="76"/>
        <v>4377930.16</v>
      </c>
      <c r="CU160" s="1">
        <f t="shared" si="76"/>
        <v>4076613.6099999994</v>
      </c>
      <c r="CV160" s="1">
        <f t="shared" si="76"/>
        <v>3454405.2399999998</v>
      </c>
      <c r="CW160" s="1">
        <f t="shared" si="76"/>
        <v>3583486.68</v>
      </c>
      <c r="CX160" s="1">
        <f t="shared" si="76"/>
        <v>2852047.41</v>
      </c>
      <c r="CY160" s="1">
        <f t="shared" si="76"/>
        <v>1935113.39</v>
      </c>
      <c r="CZ160" s="1">
        <f t="shared" si="76"/>
        <v>2360934.83</v>
      </c>
      <c r="DA160" s="1">
        <f t="shared" si="76"/>
        <v>1625019.54</v>
      </c>
      <c r="DB160" s="1">
        <f t="shared" si="76"/>
        <v>2102515.41</v>
      </c>
      <c r="DC160" s="1">
        <f t="shared" si="76"/>
        <v>3623916.4699999997</v>
      </c>
      <c r="DD160" s="1">
        <f t="shared" si="76"/>
        <v>0</v>
      </c>
      <c r="DE160" s="1">
        <f t="shared" si="76"/>
        <v>0</v>
      </c>
      <c r="DF160" s="1">
        <f t="shared" si="76"/>
        <v>0</v>
      </c>
      <c r="DH160" s="6">
        <f t="shared" si="65"/>
        <v>398251984.65000021</v>
      </c>
    </row>
    <row r="161" spans="1:112" x14ac:dyDescent="0.2">
      <c r="A161" s="5" t="s">
        <v>23</v>
      </c>
      <c r="B161" s="5" t="s">
        <v>6</v>
      </c>
      <c r="C161" s="1"/>
      <c r="D161" s="1"/>
      <c r="E161" s="1"/>
      <c r="F161" s="1"/>
      <c r="G161" s="1"/>
      <c r="H161" s="1"/>
      <c r="I161" s="1"/>
      <c r="J161" s="1">
        <v>645057.15</v>
      </c>
      <c r="K161" s="1">
        <v>5503792.8700000001</v>
      </c>
      <c r="L161" s="1">
        <v>1178343.4099999999</v>
      </c>
      <c r="M161" s="1">
        <v>1674250.42</v>
      </c>
      <c r="N161" s="1">
        <v>6174223.8099999996</v>
      </c>
      <c r="O161" s="1">
        <v>2793237.9</v>
      </c>
      <c r="P161" s="1">
        <v>2756439.08</v>
      </c>
      <c r="Q161" s="1">
        <v>4898725.6399999997</v>
      </c>
      <c r="R161" s="1">
        <v>2057834.4</v>
      </c>
      <c r="S161" s="1">
        <v>1191967.1200000001</v>
      </c>
      <c r="T161" s="1">
        <v>1625113.3199999998</v>
      </c>
      <c r="U161" s="1">
        <v>1053776.1200000001</v>
      </c>
      <c r="V161" s="1">
        <v>2884348.3899999997</v>
      </c>
      <c r="W161" s="1">
        <v>5631583.1299999999</v>
      </c>
      <c r="X161" s="1">
        <v>12295357.26</v>
      </c>
      <c r="Y161" s="1">
        <v>3784070.6</v>
      </c>
      <c r="Z161" s="1">
        <v>3478918.84</v>
      </c>
      <c r="AA161" s="1">
        <v>4637966.72</v>
      </c>
      <c r="AB161" s="1">
        <v>2105779.5699999998</v>
      </c>
      <c r="AC161" s="1">
        <v>648646.6</v>
      </c>
      <c r="AD161" s="1">
        <v>0</v>
      </c>
      <c r="AE161" s="1">
        <v>87697.08</v>
      </c>
      <c r="AF161" s="1">
        <v>-62230.77</v>
      </c>
      <c r="AG161" s="1">
        <v>1335762.7</v>
      </c>
      <c r="AH161" s="1">
        <v>3748731.9</v>
      </c>
      <c r="AI161" s="1">
        <v>6598930.6999999993</v>
      </c>
      <c r="AJ161" s="1">
        <v>8769600.2200000007</v>
      </c>
      <c r="AK161" s="1">
        <v>8108101.8699999992</v>
      </c>
      <c r="AL161" s="1">
        <v>7762542.3899999997</v>
      </c>
      <c r="AM161" s="1">
        <v>9114482.8800000008</v>
      </c>
      <c r="AN161" s="1">
        <v>4606839.71</v>
      </c>
      <c r="AO161" s="1">
        <v>5237030.5100000007</v>
      </c>
      <c r="AP161" s="1">
        <v>4300968.03</v>
      </c>
      <c r="AQ161" s="1">
        <v>3888299.05</v>
      </c>
      <c r="AR161" s="1">
        <v>3194316.6999999997</v>
      </c>
      <c r="AS161" s="1">
        <v>2887694.85</v>
      </c>
      <c r="AT161" s="1">
        <v>1886404.63</v>
      </c>
      <c r="AU161" s="1">
        <v>8846121.3899999987</v>
      </c>
      <c r="AV161" s="1">
        <v>9146353.4900000002</v>
      </c>
      <c r="AW161" s="1">
        <v>9520845.9600000009</v>
      </c>
      <c r="AX161" s="1">
        <v>3238730.1300000004</v>
      </c>
      <c r="AY161" s="1">
        <v>6521389.0800000001</v>
      </c>
      <c r="AZ161" s="1">
        <v>1887994.7200000002</v>
      </c>
      <c r="BA161" s="1">
        <v>4042432.0300000003</v>
      </c>
      <c r="BB161" s="1">
        <v>4209290.41</v>
      </c>
      <c r="BC161" s="1">
        <v>4006358.74</v>
      </c>
      <c r="BD161" s="1">
        <v>2082091.13</v>
      </c>
      <c r="BE161" s="1">
        <v>2527212.1300000004</v>
      </c>
      <c r="BF161" s="1">
        <v>2687464.57</v>
      </c>
      <c r="BG161" s="1">
        <v>8779943.4399999995</v>
      </c>
      <c r="BH161" s="1">
        <v>7687182.6900000004</v>
      </c>
      <c r="BI161" s="1">
        <v>5087584.83</v>
      </c>
      <c r="BJ161" s="1">
        <v>11297380.75</v>
      </c>
      <c r="BK161" s="1">
        <v>5117380.3</v>
      </c>
      <c r="BL161" s="1">
        <v>3143541.3400000008</v>
      </c>
      <c r="BM161" s="1">
        <v>4953171.25</v>
      </c>
      <c r="BN161" s="1">
        <v>4347138.17</v>
      </c>
      <c r="BO161" s="1">
        <v>3180952.77</v>
      </c>
      <c r="BP161" s="1">
        <v>1848676.33</v>
      </c>
      <c r="BQ161" s="1">
        <v>2463671.42</v>
      </c>
      <c r="BR161" s="1">
        <v>2691243.6</v>
      </c>
      <c r="BS161" s="1">
        <v>8144027.54</v>
      </c>
      <c r="BT161" s="1">
        <v>7344506.2599999998</v>
      </c>
      <c r="BU161" s="1">
        <v>3103061.0600000005</v>
      </c>
      <c r="BV161" s="1">
        <v>4886770.99</v>
      </c>
      <c r="BW161" s="1">
        <v>6670919.9499999993</v>
      </c>
      <c r="BX161" s="1">
        <v>2297096.12</v>
      </c>
      <c r="BY161" s="1">
        <v>3362903.13</v>
      </c>
      <c r="BZ161" s="1">
        <v>3123103.95</v>
      </c>
      <c r="CA161" s="1">
        <v>2058985.8099999998</v>
      </c>
      <c r="CB161" s="1">
        <v>1942407.17</v>
      </c>
      <c r="CC161" s="1">
        <v>1876206.15</v>
      </c>
      <c r="CD161" s="1">
        <v>3184652.91</v>
      </c>
      <c r="CE161" s="1">
        <v>7043852.2699999986</v>
      </c>
      <c r="CF161" s="1">
        <v>2864364.54</v>
      </c>
      <c r="CG161" s="1">
        <v>8048595.9100000001</v>
      </c>
      <c r="CH161" s="1">
        <v>-871100.08</v>
      </c>
      <c r="CI161" s="1">
        <v>5083475.0900000008</v>
      </c>
      <c r="CJ161" s="1">
        <v>1294774.8500000001</v>
      </c>
      <c r="CK161" s="1">
        <v>1910770.19</v>
      </c>
      <c r="CL161" s="1">
        <v>3689185.9600000004</v>
      </c>
      <c r="CM161" s="1">
        <v>3412047.6599999997</v>
      </c>
      <c r="CN161" s="1">
        <v>2745322.0100000002</v>
      </c>
      <c r="CO161" s="1">
        <v>2625778.69</v>
      </c>
      <c r="CP161" s="1">
        <v>3804858</v>
      </c>
      <c r="CQ161" s="1">
        <v>6846454.2299999995</v>
      </c>
      <c r="CR161" s="1">
        <v>4111229.5700000003</v>
      </c>
      <c r="CS161" s="1">
        <v>9856996.5099999998</v>
      </c>
      <c r="CT161" s="1">
        <v>4377930.16</v>
      </c>
      <c r="CU161" s="1">
        <v>4076613.6099999994</v>
      </c>
      <c r="CV161" s="1">
        <v>3454405.2399999998</v>
      </c>
      <c r="CW161" s="1">
        <v>3583486.68</v>
      </c>
      <c r="CX161" s="1">
        <v>2852047.41</v>
      </c>
      <c r="CY161" s="1">
        <v>1935113.39</v>
      </c>
      <c r="CZ161" s="1">
        <v>2360934.83</v>
      </c>
      <c r="DA161" s="1">
        <v>1625019.54</v>
      </c>
      <c r="DB161" s="1">
        <v>2102515.41</v>
      </c>
      <c r="DC161" s="1">
        <v>3623916.4699999997</v>
      </c>
      <c r="DD161" s="1">
        <v>0</v>
      </c>
      <c r="DE161" s="1">
        <v>0</v>
      </c>
      <c r="DF161" s="1">
        <v>0</v>
      </c>
      <c r="DH161" s="6">
        <f t="shared" si="65"/>
        <v>398251984.65000021</v>
      </c>
    </row>
    <row r="162" spans="1:112" x14ac:dyDescent="0.2">
      <c r="A162" s="5" t="s">
        <v>23</v>
      </c>
      <c r="B162" s="5" t="s">
        <v>7</v>
      </c>
      <c r="C162" s="1"/>
      <c r="D162" s="1"/>
      <c r="E162" s="1"/>
      <c r="F162" s="1"/>
      <c r="G162" s="1"/>
      <c r="H162" s="1"/>
      <c r="I162" s="1"/>
      <c r="J162" s="1">
        <v>77406.857999999993</v>
      </c>
      <c r="K162" s="1">
        <v>660455.14439999999</v>
      </c>
      <c r="L162" s="1">
        <v>141401.20919999998</v>
      </c>
      <c r="M162" s="1">
        <v>200910.05039999998</v>
      </c>
      <c r="N162" s="1">
        <v>740906.85719999997</v>
      </c>
      <c r="O162" s="1">
        <v>335188.54799999995</v>
      </c>
      <c r="P162" s="1">
        <v>330772.68959999998</v>
      </c>
      <c r="Q162" s="1">
        <v>587847.07679999992</v>
      </c>
      <c r="R162" s="1">
        <v>246940.12799999997</v>
      </c>
      <c r="S162" s="1">
        <v>143036.05439999999</v>
      </c>
      <c r="T162" s="1">
        <v>195013.59839999996</v>
      </c>
      <c r="U162" s="1">
        <v>126453.13440000001</v>
      </c>
      <c r="V162" s="1">
        <v>346121.80679999996</v>
      </c>
      <c r="W162" s="1">
        <v>675789.97560000001</v>
      </c>
      <c r="X162" s="1">
        <v>1475442.8711999999</v>
      </c>
      <c r="Y162" s="1">
        <v>454088.47200000001</v>
      </c>
      <c r="Z162" s="1">
        <v>417470.26079999999</v>
      </c>
      <c r="AA162" s="1">
        <v>556556.00639999995</v>
      </c>
      <c r="AB162" s="1">
        <v>252693.54839999997</v>
      </c>
      <c r="AC162" s="1">
        <v>77837.59199999999</v>
      </c>
      <c r="AD162" s="1">
        <v>0</v>
      </c>
      <c r="AE162" s="1">
        <v>10523.649600000001</v>
      </c>
      <c r="AF162" s="1">
        <v>-7467.692399999999</v>
      </c>
      <c r="AG162" s="1">
        <v>160291.52399999998</v>
      </c>
      <c r="AH162" s="1">
        <v>449847.82799999998</v>
      </c>
      <c r="AI162" s="1">
        <v>791871.68399999989</v>
      </c>
      <c r="AJ162" s="1">
        <v>1052352.0264000001</v>
      </c>
      <c r="AK162" s="1">
        <v>972972.22439999983</v>
      </c>
      <c r="AL162" s="1">
        <v>931505.08679999993</v>
      </c>
      <c r="AM162" s="1">
        <v>1093737.9456</v>
      </c>
      <c r="AN162" s="1">
        <v>552820.76520000002</v>
      </c>
      <c r="AO162" s="1">
        <v>628443.66120000009</v>
      </c>
      <c r="AP162" s="1">
        <v>516116.16360000003</v>
      </c>
      <c r="AQ162" s="1">
        <v>466595.88599999994</v>
      </c>
      <c r="AR162" s="1">
        <v>383318.00399999996</v>
      </c>
      <c r="AS162" s="1">
        <v>346523.38199999998</v>
      </c>
      <c r="AT162" s="1">
        <v>226368.55559999999</v>
      </c>
      <c r="AU162" s="1">
        <v>1061534.5667999999</v>
      </c>
      <c r="AV162" s="1">
        <v>1097562.4188000001</v>
      </c>
      <c r="AW162" s="1">
        <v>1142501.5152</v>
      </c>
      <c r="AX162" s="1">
        <v>388647.61560000002</v>
      </c>
      <c r="AY162" s="1">
        <v>782566.68959999993</v>
      </c>
      <c r="AZ162" s="1">
        <v>226559.36640000003</v>
      </c>
      <c r="BA162" s="1">
        <v>485091.84360000002</v>
      </c>
      <c r="BB162" s="1">
        <v>505114.8492</v>
      </c>
      <c r="BC162" s="1">
        <v>480763.04879999999</v>
      </c>
      <c r="BD162" s="1">
        <v>249850.93559999997</v>
      </c>
      <c r="BE162" s="1">
        <v>303265.45560000004</v>
      </c>
      <c r="BF162" s="1">
        <v>322495.74839999998</v>
      </c>
      <c r="BG162" s="1">
        <v>1053593.2127999999</v>
      </c>
      <c r="BH162" s="1">
        <v>922461.92280000006</v>
      </c>
      <c r="BI162" s="1">
        <v>610510.17960000003</v>
      </c>
      <c r="BJ162" s="1">
        <v>1355685.69</v>
      </c>
      <c r="BK162" s="1">
        <v>614085.63599999994</v>
      </c>
      <c r="BL162" s="1">
        <v>377224.96080000006</v>
      </c>
      <c r="BM162" s="1">
        <v>594380.54999999993</v>
      </c>
      <c r="BN162" s="1">
        <v>521656.58039999998</v>
      </c>
      <c r="BO162" s="1">
        <v>381714.33240000001</v>
      </c>
      <c r="BP162" s="1">
        <v>221841.15960000001</v>
      </c>
      <c r="BQ162" s="1">
        <v>295640.57039999997</v>
      </c>
      <c r="BR162" s="1">
        <v>322949.23200000002</v>
      </c>
      <c r="BS162" s="1">
        <v>977283.30479999993</v>
      </c>
      <c r="BT162" s="1">
        <v>881340.75119999994</v>
      </c>
      <c r="BU162" s="1">
        <v>372367.32720000006</v>
      </c>
      <c r="BV162" s="1">
        <v>586412.51879999996</v>
      </c>
      <c r="BW162" s="1">
        <v>800510.39399999985</v>
      </c>
      <c r="BX162" s="1">
        <v>275651.5344</v>
      </c>
      <c r="BY162" s="1">
        <v>403548.37559999997</v>
      </c>
      <c r="BZ162" s="1">
        <v>374772.47399999999</v>
      </c>
      <c r="CA162" s="1">
        <v>247078.29719999997</v>
      </c>
      <c r="CB162" s="1">
        <v>233088.86039999998</v>
      </c>
      <c r="CC162" s="1">
        <v>225144.73799999998</v>
      </c>
      <c r="CD162" s="1">
        <v>382158.3492</v>
      </c>
      <c r="CE162" s="1">
        <v>845262.27239999978</v>
      </c>
      <c r="CF162" s="1">
        <v>343723.74479999999</v>
      </c>
      <c r="CG162" s="1">
        <v>965831.50919999997</v>
      </c>
      <c r="CH162" s="1">
        <v>-104532.00959999999</v>
      </c>
      <c r="CI162" s="1">
        <v>610017.01080000005</v>
      </c>
      <c r="CJ162" s="1">
        <v>155372.98200000002</v>
      </c>
      <c r="CK162" s="1">
        <v>229292.42279999997</v>
      </c>
      <c r="CL162" s="1">
        <v>442702.31520000001</v>
      </c>
      <c r="CM162" s="1">
        <v>409445.71919999993</v>
      </c>
      <c r="CN162" s="1">
        <v>329438.64120000001</v>
      </c>
      <c r="CO162" s="1">
        <v>315093.44279999996</v>
      </c>
      <c r="CP162" s="1">
        <v>456582.95999999996</v>
      </c>
      <c r="CQ162" s="1">
        <v>821574.5075999999</v>
      </c>
      <c r="CR162" s="1">
        <v>493347.54840000003</v>
      </c>
      <c r="CS162" s="1">
        <v>1182839.5811999999</v>
      </c>
      <c r="CT162" s="1">
        <v>525351.61919999996</v>
      </c>
      <c r="CU162" s="1">
        <v>489193.63319999992</v>
      </c>
      <c r="CV162" s="1">
        <v>414528.62879999995</v>
      </c>
      <c r="CW162" s="1">
        <v>430018.40159999998</v>
      </c>
      <c r="CX162" s="1">
        <v>342245.68920000002</v>
      </c>
      <c r="CY162" s="1">
        <v>232213.60679999998</v>
      </c>
      <c r="CZ162" s="1">
        <v>283312.17959999997</v>
      </c>
      <c r="DA162" s="1">
        <v>195002.34479999999</v>
      </c>
      <c r="DB162" s="1">
        <v>252301.8492</v>
      </c>
      <c r="DC162" s="1">
        <v>434869.97639999993</v>
      </c>
      <c r="DD162" s="1">
        <v>0</v>
      </c>
      <c r="DE162" s="1">
        <v>0</v>
      </c>
      <c r="DF162" s="1">
        <v>0</v>
      </c>
      <c r="DH162" s="6">
        <f t="shared" si="65"/>
        <v>47790238.158000007</v>
      </c>
    </row>
    <row r="163" spans="1:112" x14ac:dyDescent="0.2">
      <c r="A163" s="5" t="str">
        <f>A162</f>
        <v>MS</v>
      </c>
      <c r="B163" s="5" t="s">
        <v>41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H163" s="6">
        <f t="shared" si="65"/>
        <v>0</v>
      </c>
    </row>
    <row r="164" spans="1:112" x14ac:dyDescent="0.2">
      <c r="A164" s="5" t="s">
        <v>24</v>
      </c>
      <c r="B164" s="5" t="s">
        <v>4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>
        <v>8051</v>
      </c>
      <c r="AD164" s="1">
        <v>434</v>
      </c>
      <c r="AE164" s="1">
        <v>113283</v>
      </c>
      <c r="AF164" s="1">
        <v>346600</v>
      </c>
      <c r="AG164" s="1">
        <v>1550000</v>
      </c>
      <c r="AH164" s="1">
        <v>2610000</v>
      </c>
      <c r="AI164" s="1">
        <v>2450000</v>
      </c>
      <c r="AJ164" s="1">
        <v>2930000</v>
      </c>
      <c r="AK164" s="1">
        <v>3180000</v>
      </c>
      <c r="AL164" s="1">
        <v>5570000</v>
      </c>
      <c r="AM164" s="1">
        <v>5140000</v>
      </c>
      <c r="AN164" s="1">
        <v>3870000</v>
      </c>
      <c r="AO164" s="1">
        <v>4410000</v>
      </c>
      <c r="AP164" s="1">
        <v>3250000</v>
      </c>
      <c r="AQ164" s="1">
        <v>4000000</v>
      </c>
      <c r="AR164" s="1">
        <v>3700000</v>
      </c>
      <c r="AS164" s="1">
        <v>2630000</v>
      </c>
      <c r="AT164" s="1">
        <v>3350000</v>
      </c>
      <c r="AU164" s="1">
        <v>3020000</v>
      </c>
      <c r="AV164" s="1">
        <v>4400000</v>
      </c>
      <c r="AW164" s="1">
        <v>4530000</v>
      </c>
      <c r="AX164" s="1">
        <v>4920000</v>
      </c>
      <c r="AY164" s="1">
        <v>5117000</v>
      </c>
      <c r="AZ164" s="1">
        <v>3632000</v>
      </c>
      <c r="BA164" s="1">
        <v>3982000</v>
      </c>
      <c r="BB164" s="1">
        <v>3243000</v>
      </c>
      <c r="BC164" s="1">
        <v>3237000</v>
      </c>
      <c r="BD164" s="1">
        <v>2912000</v>
      </c>
      <c r="BE164" s="1">
        <v>2560000</v>
      </c>
      <c r="BF164" s="1">
        <v>2975100</v>
      </c>
      <c r="BG164" s="1">
        <v>4940321</v>
      </c>
      <c r="BH164" s="1">
        <v>5319627</v>
      </c>
      <c r="BI164" s="1">
        <v>5782523</v>
      </c>
      <c r="BJ164" s="1">
        <v>7218595</v>
      </c>
      <c r="BK164" s="1">
        <v>7139581</v>
      </c>
      <c r="BL164" s="1">
        <v>4366807</v>
      </c>
      <c r="BM164" s="1">
        <v>5784045</v>
      </c>
      <c r="BN164" s="1">
        <v>5201964</v>
      </c>
      <c r="BO164" s="1">
        <v>4457829</v>
      </c>
      <c r="BP164" s="1">
        <v>3353974</v>
      </c>
      <c r="BQ164" s="1">
        <v>2587209</v>
      </c>
      <c r="BR164" s="1">
        <v>3221337</v>
      </c>
      <c r="BS164" s="1">
        <v>6204965</v>
      </c>
      <c r="BT164" s="1">
        <v>6787517</v>
      </c>
      <c r="BU164" s="1">
        <v>6996429</v>
      </c>
      <c r="BV164" s="1">
        <v>6157163</v>
      </c>
      <c r="BW164" s="1">
        <v>5863499</v>
      </c>
      <c r="BX164" s="1">
        <v>4702533</v>
      </c>
      <c r="BY164" s="1">
        <v>6587999</v>
      </c>
      <c r="BZ164" s="1">
        <v>5486089</v>
      </c>
      <c r="CA164" s="1">
        <v>4865206</v>
      </c>
      <c r="CB164" s="1">
        <v>3880623</v>
      </c>
      <c r="CC164" s="1">
        <v>2947631</v>
      </c>
      <c r="CD164" s="1">
        <v>3782754</v>
      </c>
      <c r="CE164" s="1">
        <v>6779010</v>
      </c>
      <c r="CF164" s="1">
        <v>7590965</v>
      </c>
      <c r="CG164" s="1">
        <v>7427893</v>
      </c>
      <c r="CH164" s="1">
        <v>6555797</v>
      </c>
      <c r="CI164" s="1">
        <v>5750903</v>
      </c>
      <c r="CJ164" s="1">
        <v>3743225</v>
      </c>
      <c r="CK164" s="1">
        <v>6200119</v>
      </c>
      <c r="CL164" s="1">
        <v>6207185</v>
      </c>
      <c r="CM164" s="1">
        <v>4981327</v>
      </c>
      <c r="CN164" s="1">
        <v>3957692</v>
      </c>
      <c r="CO164" s="1">
        <v>3724169</v>
      </c>
      <c r="CP164" s="1">
        <v>4510556</v>
      </c>
      <c r="CQ164" s="1">
        <v>7455631</v>
      </c>
      <c r="CR164" s="1">
        <v>7808858</v>
      </c>
      <c r="CS164" s="1">
        <v>7281473</v>
      </c>
      <c r="CT164" s="1">
        <v>6519073</v>
      </c>
      <c r="CU164" s="1">
        <v>7884294</v>
      </c>
      <c r="CV164" s="1">
        <v>5380960</v>
      </c>
      <c r="CW164" s="1">
        <v>6657235</v>
      </c>
      <c r="CX164" s="1">
        <v>5112520</v>
      </c>
      <c r="CY164" s="1">
        <v>4814407</v>
      </c>
      <c r="CZ164" s="1">
        <v>4395167</v>
      </c>
      <c r="DA164" s="1">
        <v>3646767</v>
      </c>
      <c r="DB164" s="1">
        <v>3303144</v>
      </c>
      <c r="DC164" s="1">
        <v>5621076</v>
      </c>
      <c r="DD164" s="1">
        <v>0</v>
      </c>
      <c r="DE164" s="1">
        <v>0</v>
      </c>
      <c r="DF164" s="1">
        <v>0</v>
      </c>
      <c r="DH164" s="6">
        <f t="shared" si="65"/>
        <v>360582134</v>
      </c>
    </row>
    <row r="165" spans="1:112" x14ac:dyDescent="0.2">
      <c r="A165" s="5" t="s">
        <v>24</v>
      </c>
      <c r="B165" s="5" t="s">
        <v>42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H165" s="6">
        <f t="shared" si="65"/>
        <v>0</v>
      </c>
    </row>
    <row r="166" spans="1:112" x14ac:dyDescent="0.2">
      <c r="A166" s="5" t="s">
        <v>24</v>
      </c>
      <c r="B166" s="5" t="s">
        <v>43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>
        <f t="shared" ref="AC166:CN166" si="77">AC164-AC165</f>
        <v>8051</v>
      </c>
      <c r="AD166" s="1">
        <f t="shared" si="77"/>
        <v>434</v>
      </c>
      <c r="AE166" s="1">
        <f t="shared" si="77"/>
        <v>113283</v>
      </c>
      <c r="AF166" s="1">
        <f t="shared" si="77"/>
        <v>346600</v>
      </c>
      <c r="AG166" s="1">
        <f t="shared" si="77"/>
        <v>1550000</v>
      </c>
      <c r="AH166" s="1">
        <f t="shared" si="77"/>
        <v>2610000</v>
      </c>
      <c r="AI166" s="1">
        <f t="shared" si="77"/>
        <v>2450000</v>
      </c>
      <c r="AJ166" s="1">
        <f t="shared" si="77"/>
        <v>2930000</v>
      </c>
      <c r="AK166" s="1">
        <f t="shared" si="77"/>
        <v>3180000</v>
      </c>
      <c r="AL166" s="1">
        <f t="shared" si="77"/>
        <v>5570000</v>
      </c>
      <c r="AM166" s="1">
        <f t="shared" si="77"/>
        <v>5140000</v>
      </c>
      <c r="AN166" s="1">
        <f t="shared" si="77"/>
        <v>3870000</v>
      </c>
      <c r="AO166" s="1">
        <f t="shared" si="77"/>
        <v>4410000</v>
      </c>
      <c r="AP166" s="1">
        <f t="shared" si="77"/>
        <v>3250000</v>
      </c>
      <c r="AQ166" s="1">
        <f t="shared" si="77"/>
        <v>4000000</v>
      </c>
      <c r="AR166" s="1">
        <f t="shared" si="77"/>
        <v>3700000</v>
      </c>
      <c r="AS166" s="1">
        <f t="shared" si="77"/>
        <v>2630000</v>
      </c>
      <c r="AT166" s="1">
        <f t="shared" si="77"/>
        <v>3350000</v>
      </c>
      <c r="AU166" s="1">
        <f t="shared" si="77"/>
        <v>3020000</v>
      </c>
      <c r="AV166" s="1">
        <f t="shared" si="77"/>
        <v>4400000</v>
      </c>
      <c r="AW166" s="1">
        <f t="shared" si="77"/>
        <v>4530000</v>
      </c>
      <c r="AX166" s="1">
        <f t="shared" si="77"/>
        <v>4920000</v>
      </c>
      <c r="AY166" s="1">
        <f t="shared" si="77"/>
        <v>5117000</v>
      </c>
      <c r="AZ166" s="1">
        <f t="shared" si="77"/>
        <v>3632000</v>
      </c>
      <c r="BA166" s="1">
        <f t="shared" si="77"/>
        <v>3982000</v>
      </c>
      <c r="BB166" s="1">
        <f t="shared" si="77"/>
        <v>3243000</v>
      </c>
      <c r="BC166" s="1">
        <f t="shared" si="77"/>
        <v>3237000</v>
      </c>
      <c r="BD166" s="1">
        <f t="shared" si="77"/>
        <v>2912000</v>
      </c>
      <c r="BE166" s="1">
        <f t="shared" si="77"/>
        <v>2560000</v>
      </c>
      <c r="BF166" s="1">
        <f t="shared" si="77"/>
        <v>2975100</v>
      </c>
      <c r="BG166" s="1">
        <f t="shared" si="77"/>
        <v>4940321</v>
      </c>
      <c r="BH166" s="1">
        <f t="shared" si="77"/>
        <v>5319627</v>
      </c>
      <c r="BI166" s="1">
        <f t="shared" si="77"/>
        <v>5782523</v>
      </c>
      <c r="BJ166" s="1">
        <f t="shared" si="77"/>
        <v>7218595</v>
      </c>
      <c r="BK166" s="1">
        <f t="shared" si="77"/>
        <v>7139581</v>
      </c>
      <c r="BL166" s="1">
        <f t="shared" si="77"/>
        <v>4366807</v>
      </c>
      <c r="BM166" s="1">
        <f t="shared" si="77"/>
        <v>5784045</v>
      </c>
      <c r="BN166" s="1">
        <f t="shared" si="77"/>
        <v>5201964</v>
      </c>
      <c r="BO166" s="1">
        <f t="shared" si="77"/>
        <v>4457829</v>
      </c>
      <c r="BP166" s="1">
        <f t="shared" si="77"/>
        <v>3353974</v>
      </c>
      <c r="BQ166" s="1">
        <f t="shared" si="77"/>
        <v>2587209</v>
      </c>
      <c r="BR166" s="1">
        <f t="shared" si="77"/>
        <v>3221337</v>
      </c>
      <c r="BS166" s="1">
        <f t="shared" si="77"/>
        <v>6204965</v>
      </c>
      <c r="BT166" s="1">
        <f t="shared" si="77"/>
        <v>6787517</v>
      </c>
      <c r="BU166" s="1">
        <f t="shared" si="77"/>
        <v>6996429</v>
      </c>
      <c r="BV166" s="1">
        <f t="shared" si="77"/>
        <v>6157163</v>
      </c>
      <c r="BW166" s="1">
        <f t="shared" si="77"/>
        <v>5863499</v>
      </c>
      <c r="BX166" s="1">
        <f t="shared" si="77"/>
        <v>4702533</v>
      </c>
      <c r="BY166" s="1">
        <f t="shared" si="77"/>
        <v>6587999</v>
      </c>
      <c r="BZ166" s="1">
        <f t="shared" si="77"/>
        <v>5486089</v>
      </c>
      <c r="CA166" s="1">
        <f t="shared" si="77"/>
        <v>4865206</v>
      </c>
      <c r="CB166" s="1">
        <f t="shared" si="77"/>
        <v>3880623</v>
      </c>
      <c r="CC166" s="1">
        <f t="shared" si="77"/>
        <v>2947631</v>
      </c>
      <c r="CD166" s="1">
        <f t="shared" si="77"/>
        <v>3782754</v>
      </c>
      <c r="CE166" s="1">
        <f t="shared" si="77"/>
        <v>6779010</v>
      </c>
      <c r="CF166" s="1">
        <f t="shared" si="77"/>
        <v>7590965</v>
      </c>
      <c r="CG166" s="1">
        <f t="shared" si="77"/>
        <v>7427893</v>
      </c>
      <c r="CH166" s="1">
        <f t="shared" si="77"/>
        <v>6555797</v>
      </c>
      <c r="CI166" s="1">
        <f t="shared" si="77"/>
        <v>5750903</v>
      </c>
      <c r="CJ166" s="1">
        <f t="shared" si="77"/>
        <v>3743225</v>
      </c>
      <c r="CK166" s="1">
        <f t="shared" si="77"/>
        <v>6200119</v>
      </c>
      <c r="CL166" s="1">
        <f t="shared" si="77"/>
        <v>6207185</v>
      </c>
      <c r="CM166" s="1">
        <f t="shared" si="77"/>
        <v>4981327</v>
      </c>
      <c r="CN166" s="1">
        <f t="shared" si="77"/>
        <v>3957692</v>
      </c>
      <c r="CO166" s="1">
        <f t="shared" ref="CO166:DF166" si="78">CO164-CO165</f>
        <v>3724169</v>
      </c>
      <c r="CP166" s="1">
        <f t="shared" si="78"/>
        <v>4510556</v>
      </c>
      <c r="CQ166" s="1">
        <f t="shared" si="78"/>
        <v>7455631</v>
      </c>
      <c r="CR166" s="1">
        <f t="shared" si="78"/>
        <v>7808858</v>
      </c>
      <c r="CS166" s="1">
        <f t="shared" si="78"/>
        <v>7281473</v>
      </c>
      <c r="CT166" s="1">
        <f t="shared" si="78"/>
        <v>6519073</v>
      </c>
      <c r="CU166" s="1">
        <f t="shared" si="78"/>
        <v>7884294</v>
      </c>
      <c r="CV166" s="1">
        <f t="shared" si="78"/>
        <v>5380960</v>
      </c>
      <c r="CW166" s="1">
        <f t="shared" si="78"/>
        <v>6657235</v>
      </c>
      <c r="CX166" s="1">
        <f t="shared" si="78"/>
        <v>5112520</v>
      </c>
      <c r="CY166" s="1">
        <f t="shared" si="78"/>
        <v>4814407</v>
      </c>
      <c r="CZ166" s="1">
        <f t="shared" si="78"/>
        <v>4395167</v>
      </c>
      <c r="DA166" s="1">
        <f t="shared" si="78"/>
        <v>3646767</v>
      </c>
      <c r="DB166" s="1">
        <f t="shared" si="78"/>
        <v>3303144</v>
      </c>
      <c r="DC166" s="1">
        <f t="shared" si="78"/>
        <v>5621076</v>
      </c>
      <c r="DD166" s="1">
        <f t="shared" si="78"/>
        <v>0</v>
      </c>
      <c r="DE166" s="1">
        <f t="shared" si="78"/>
        <v>0</v>
      </c>
      <c r="DF166" s="1">
        <f t="shared" si="78"/>
        <v>0</v>
      </c>
      <c r="DH166" s="6">
        <f t="shared" si="65"/>
        <v>360582134</v>
      </c>
    </row>
    <row r="167" spans="1:112" x14ac:dyDescent="0.2">
      <c r="A167" s="5" t="s">
        <v>24</v>
      </c>
      <c r="B167" s="5" t="s">
        <v>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>
        <v>3130</v>
      </c>
      <c r="AD167" s="1">
        <v>-289</v>
      </c>
      <c r="AE167" s="1">
        <v>30502</v>
      </c>
      <c r="AF167" s="1">
        <v>68714</v>
      </c>
      <c r="AG167" s="1">
        <v>171000</v>
      </c>
      <c r="AH167" s="1">
        <v>241000</v>
      </c>
      <c r="AI167" s="1">
        <v>303000</v>
      </c>
      <c r="AJ167" s="1">
        <v>491000</v>
      </c>
      <c r="AK167" s="1">
        <v>465000</v>
      </c>
      <c r="AL167" s="1">
        <v>595000</v>
      </c>
      <c r="AM167" s="1">
        <v>487000</v>
      </c>
      <c r="AN167" s="1">
        <v>312000</v>
      </c>
      <c r="AO167" s="1">
        <v>652000</v>
      </c>
      <c r="AP167" s="1">
        <v>501000</v>
      </c>
      <c r="AQ167" s="1">
        <v>500000</v>
      </c>
      <c r="AR167" s="1">
        <v>400000</v>
      </c>
      <c r="AS167" s="1">
        <v>450000</v>
      </c>
      <c r="AT167" s="1">
        <v>475000</v>
      </c>
      <c r="AU167" s="1">
        <v>560000</v>
      </c>
      <c r="AV167" s="1">
        <v>568000</v>
      </c>
      <c r="AW167" s="1">
        <v>879000</v>
      </c>
      <c r="AX167" s="1">
        <v>643000</v>
      </c>
      <c r="AY167" s="1">
        <v>670000</v>
      </c>
      <c r="AZ167" s="1">
        <v>706000</v>
      </c>
      <c r="BA167" s="1">
        <v>672000</v>
      </c>
      <c r="BB167" s="1">
        <v>389000</v>
      </c>
      <c r="BC167" s="1">
        <v>382000</v>
      </c>
      <c r="BD167" s="1">
        <v>275000</v>
      </c>
      <c r="BE167" s="1">
        <v>274000</v>
      </c>
      <c r="BF167" s="1">
        <v>440591</v>
      </c>
      <c r="BG167" s="1">
        <v>975542</v>
      </c>
      <c r="BH167" s="1">
        <v>681222</v>
      </c>
      <c r="BI167" s="1">
        <v>777488</v>
      </c>
      <c r="BJ167" s="1">
        <v>931178</v>
      </c>
      <c r="BK167" s="1">
        <v>979495</v>
      </c>
      <c r="BL167" s="1">
        <v>560668</v>
      </c>
      <c r="BM167" s="1">
        <v>925542</v>
      </c>
      <c r="BN167" s="1">
        <v>633005</v>
      </c>
      <c r="BO167" s="1">
        <v>666686</v>
      </c>
      <c r="BP167" s="1">
        <v>282263</v>
      </c>
      <c r="BQ167" s="1">
        <v>560046</v>
      </c>
      <c r="BR167" s="1">
        <v>337442</v>
      </c>
      <c r="BS167" s="1">
        <v>676451</v>
      </c>
      <c r="BT167" s="1">
        <v>1102195</v>
      </c>
      <c r="BU167" s="1">
        <v>717423</v>
      </c>
      <c r="BV167" s="1">
        <v>1005395</v>
      </c>
      <c r="BW167" s="1">
        <v>852106</v>
      </c>
      <c r="BX167" s="1">
        <v>253230</v>
      </c>
      <c r="BY167" s="1">
        <v>500560</v>
      </c>
      <c r="BZ167" s="1">
        <v>644651</v>
      </c>
      <c r="CA167" s="1">
        <v>599686</v>
      </c>
      <c r="CB167" s="1">
        <v>427614</v>
      </c>
      <c r="CC167" s="1">
        <v>567830</v>
      </c>
      <c r="CD167" s="1">
        <v>717347</v>
      </c>
      <c r="CE167" s="1">
        <v>893172</v>
      </c>
      <c r="CF167" s="1">
        <v>-26938</v>
      </c>
      <c r="CG167" s="1">
        <v>1593721</v>
      </c>
      <c r="CH167" s="1">
        <v>110040</v>
      </c>
      <c r="CI167" s="1">
        <v>1289383</v>
      </c>
      <c r="CJ167" s="1">
        <v>185245</v>
      </c>
      <c r="CK167" s="1">
        <v>685025</v>
      </c>
      <c r="CL167" s="1">
        <v>759848</v>
      </c>
      <c r="CM167" s="1">
        <v>763060</v>
      </c>
      <c r="CN167" s="1">
        <v>1023494</v>
      </c>
      <c r="CO167" s="1">
        <v>617135</v>
      </c>
      <c r="CP167" s="1">
        <v>791342</v>
      </c>
      <c r="CQ167" s="1">
        <v>829066</v>
      </c>
      <c r="CR167" s="1">
        <v>1043589</v>
      </c>
      <c r="CS167" s="1">
        <v>1231883</v>
      </c>
      <c r="CT167" s="1">
        <v>1086329</v>
      </c>
      <c r="CU167" s="1">
        <v>648685</v>
      </c>
      <c r="CV167" s="1">
        <v>422935</v>
      </c>
      <c r="CW167" s="1">
        <v>978753</v>
      </c>
      <c r="CX167" s="1">
        <v>636755</v>
      </c>
      <c r="CY167" s="1">
        <v>477188.5</v>
      </c>
      <c r="CZ167" s="1">
        <v>681456</v>
      </c>
      <c r="DA167" s="1">
        <v>576321</v>
      </c>
      <c r="DB167" s="1">
        <v>718500</v>
      </c>
      <c r="DC167" s="1">
        <v>921929</v>
      </c>
      <c r="DD167" s="1">
        <v>0</v>
      </c>
      <c r="DE167" s="1">
        <v>0</v>
      </c>
      <c r="DF167" s="1">
        <v>0</v>
      </c>
      <c r="DH167" s="6">
        <f t="shared" si="65"/>
        <v>47916629.5</v>
      </c>
    </row>
    <row r="168" spans="1:112" x14ac:dyDescent="0.2">
      <c r="A168" s="5" t="s">
        <v>24</v>
      </c>
      <c r="B168" s="5" t="s">
        <v>44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H168" s="6">
        <f t="shared" si="65"/>
        <v>0</v>
      </c>
    </row>
    <row r="169" spans="1:112" x14ac:dyDescent="0.2">
      <c r="A169" s="5" t="s">
        <v>24</v>
      </c>
      <c r="B169" s="5" t="s">
        <v>45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>
        <f t="shared" ref="AC169:CN169" si="79">AC167-AC168</f>
        <v>3130</v>
      </c>
      <c r="AD169" s="1">
        <f t="shared" si="79"/>
        <v>-289</v>
      </c>
      <c r="AE169" s="1">
        <f t="shared" si="79"/>
        <v>30502</v>
      </c>
      <c r="AF169" s="1">
        <f t="shared" si="79"/>
        <v>68714</v>
      </c>
      <c r="AG169" s="1">
        <f t="shared" si="79"/>
        <v>171000</v>
      </c>
      <c r="AH169" s="1">
        <f t="shared" si="79"/>
        <v>241000</v>
      </c>
      <c r="AI169" s="1">
        <f t="shared" si="79"/>
        <v>303000</v>
      </c>
      <c r="AJ169" s="1">
        <f t="shared" si="79"/>
        <v>491000</v>
      </c>
      <c r="AK169" s="1">
        <f t="shared" si="79"/>
        <v>465000</v>
      </c>
      <c r="AL169" s="1">
        <f t="shared" si="79"/>
        <v>595000</v>
      </c>
      <c r="AM169" s="1">
        <f t="shared" si="79"/>
        <v>487000</v>
      </c>
      <c r="AN169" s="1">
        <f t="shared" si="79"/>
        <v>312000</v>
      </c>
      <c r="AO169" s="1">
        <f t="shared" si="79"/>
        <v>652000</v>
      </c>
      <c r="AP169" s="1">
        <f t="shared" si="79"/>
        <v>501000</v>
      </c>
      <c r="AQ169" s="1">
        <f t="shared" si="79"/>
        <v>500000</v>
      </c>
      <c r="AR169" s="1">
        <f t="shared" si="79"/>
        <v>400000</v>
      </c>
      <c r="AS169" s="1">
        <f t="shared" si="79"/>
        <v>450000</v>
      </c>
      <c r="AT169" s="1">
        <f t="shared" si="79"/>
        <v>475000</v>
      </c>
      <c r="AU169" s="1">
        <f t="shared" si="79"/>
        <v>560000</v>
      </c>
      <c r="AV169" s="1">
        <f t="shared" si="79"/>
        <v>568000</v>
      </c>
      <c r="AW169" s="1">
        <f t="shared" si="79"/>
        <v>879000</v>
      </c>
      <c r="AX169" s="1">
        <f t="shared" si="79"/>
        <v>643000</v>
      </c>
      <c r="AY169" s="1">
        <f t="shared" si="79"/>
        <v>670000</v>
      </c>
      <c r="AZ169" s="1">
        <f t="shared" si="79"/>
        <v>706000</v>
      </c>
      <c r="BA169" s="1">
        <f t="shared" si="79"/>
        <v>672000</v>
      </c>
      <c r="BB169" s="1">
        <f t="shared" si="79"/>
        <v>389000</v>
      </c>
      <c r="BC169" s="1">
        <f t="shared" si="79"/>
        <v>382000</v>
      </c>
      <c r="BD169" s="1">
        <f t="shared" si="79"/>
        <v>275000</v>
      </c>
      <c r="BE169" s="1">
        <f t="shared" si="79"/>
        <v>274000</v>
      </c>
      <c r="BF169" s="1">
        <f t="shared" si="79"/>
        <v>440591</v>
      </c>
      <c r="BG169" s="1">
        <f t="shared" si="79"/>
        <v>975542</v>
      </c>
      <c r="BH169" s="1">
        <f t="shared" si="79"/>
        <v>681222</v>
      </c>
      <c r="BI169" s="1">
        <f t="shared" si="79"/>
        <v>777488</v>
      </c>
      <c r="BJ169" s="1">
        <f t="shared" si="79"/>
        <v>931178</v>
      </c>
      <c r="BK169" s="1">
        <f t="shared" si="79"/>
        <v>979495</v>
      </c>
      <c r="BL169" s="1">
        <f t="shared" si="79"/>
        <v>560668</v>
      </c>
      <c r="BM169" s="1">
        <f t="shared" si="79"/>
        <v>925542</v>
      </c>
      <c r="BN169" s="1">
        <f t="shared" si="79"/>
        <v>633005</v>
      </c>
      <c r="BO169" s="1">
        <f t="shared" si="79"/>
        <v>666686</v>
      </c>
      <c r="BP169" s="1">
        <f t="shared" si="79"/>
        <v>282263</v>
      </c>
      <c r="BQ169" s="1">
        <f t="shared" si="79"/>
        <v>560046</v>
      </c>
      <c r="BR169" s="1">
        <f t="shared" si="79"/>
        <v>337442</v>
      </c>
      <c r="BS169" s="1">
        <f t="shared" si="79"/>
        <v>676451</v>
      </c>
      <c r="BT169" s="1">
        <f t="shared" si="79"/>
        <v>1102195</v>
      </c>
      <c r="BU169" s="1">
        <f t="shared" si="79"/>
        <v>717423</v>
      </c>
      <c r="BV169" s="1">
        <f t="shared" si="79"/>
        <v>1005395</v>
      </c>
      <c r="BW169" s="1">
        <f t="shared" si="79"/>
        <v>852106</v>
      </c>
      <c r="BX169" s="1">
        <f t="shared" si="79"/>
        <v>253230</v>
      </c>
      <c r="BY169" s="1">
        <f t="shared" si="79"/>
        <v>500560</v>
      </c>
      <c r="BZ169" s="1">
        <f t="shared" si="79"/>
        <v>644651</v>
      </c>
      <c r="CA169" s="1">
        <f t="shared" si="79"/>
        <v>599686</v>
      </c>
      <c r="CB169" s="1">
        <f t="shared" si="79"/>
        <v>427614</v>
      </c>
      <c r="CC169" s="1">
        <f t="shared" si="79"/>
        <v>567830</v>
      </c>
      <c r="CD169" s="1">
        <f t="shared" si="79"/>
        <v>717347</v>
      </c>
      <c r="CE169" s="1">
        <f t="shared" si="79"/>
        <v>893172</v>
      </c>
      <c r="CF169" s="1">
        <f t="shared" si="79"/>
        <v>-26938</v>
      </c>
      <c r="CG169" s="1">
        <f t="shared" si="79"/>
        <v>1593721</v>
      </c>
      <c r="CH169" s="1">
        <f t="shared" si="79"/>
        <v>110040</v>
      </c>
      <c r="CI169" s="1">
        <f t="shared" si="79"/>
        <v>1289383</v>
      </c>
      <c r="CJ169" s="1">
        <f t="shared" si="79"/>
        <v>185245</v>
      </c>
      <c r="CK169" s="1">
        <f t="shared" si="79"/>
        <v>685025</v>
      </c>
      <c r="CL169" s="1">
        <f t="shared" si="79"/>
        <v>759848</v>
      </c>
      <c r="CM169" s="1">
        <f t="shared" si="79"/>
        <v>763060</v>
      </c>
      <c r="CN169" s="1">
        <f t="shared" si="79"/>
        <v>1023494</v>
      </c>
      <c r="CO169" s="1">
        <f t="shared" ref="CO169:DF169" si="80">CO167-CO168</f>
        <v>617135</v>
      </c>
      <c r="CP169" s="1">
        <f t="shared" si="80"/>
        <v>791342</v>
      </c>
      <c r="CQ169" s="1">
        <f t="shared" si="80"/>
        <v>829066</v>
      </c>
      <c r="CR169" s="1">
        <f t="shared" si="80"/>
        <v>1043589</v>
      </c>
      <c r="CS169" s="1">
        <f t="shared" si="80"/>
        <v>1231883</v>
      </c>
      <c r="CT169" s="1">
        <f t="shared" si="80"/>
        <v>1086329</v>
      </c>
      <c r="CU169" s="1">
        <f t="shared" si="80"/>
        <v>648685</v>
      </c>
      <c r="CV169" s="1">
        <f t="shared" si="80"/>
        <v>422935</v>
      </c>
      <c r="CW169" s="1">
        <f t="shared" si="80"/>
        <v>978753</v>
      </c>
      <c r="CX169" s="1">
        <f t="shared" si="80"/>
        <v>636755</v>
      </c>
      <c r="CY169" s="1">
        <f t="shared" si="80"/>
        <v>477188.5</v>
      </c>
      <c r="CZ169" s="1">
        <f t="shared" si="80"/>
        <v>681456</v>
      </c>
      <c r="DA169" s="1">
        <f t="shared" si="80"/>
        <v>576321</v>
      </c>
      <c r="DB169" s="1">
        <f t="shared" si="80"/>
        <v>718500</v>
      </c>
      <c r="DC169" s="1">
        <f t="shared" si="80"/>
        <v>921929</v>
      </c>
      <c r="DD169" s="1">
        <f t="shared" si="80"/>
        <v>0</v>
      </c>
      <c r="DE169" s="1">
        <f t="shared" si="80"/>
        <v>0</v>
      </c>
      <c r="DF169" s="1">
        <f t="shared" si="80"/>
        <v>0</v>
      </c>
      <c r="DH169" s="6">
        <f t="shared" si="65"/>
        <v>47916629.5</v>
      </c>
    </row>
    <row r="170" spans="1:112" x14ac:dyDescent="0.2">
      <c r="A170" s="5" t="s">
        <v>24</v>
      </c>
      <c r="B170" s="5" t="s">
        <v>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>
        <v>2647</v>
      </c>
      <c r="AD170" s="1">
        <v>-315</v>
      </c>
      <c r="AE170" s="1">
        <v>23704.400000000001</v>
      </c>
      <c r="AF170" s="1">
        <v>47918</v>
      </c>
      <c r="AG170" s="1">
        <v>77700</v>
      </c>
      <c r="AH170" s="1">
        <v>84600</v>
      </c>
      <c r="AI170" s="1">
        <v>155800</v>
      </c>
      <c r="AJ170" s="1">
        <v>314900</v>
      </c>
      <c r="AK170" s="1">
        <v>273900</v>
      </c>
      <c r="AL170" s="1">
        <v>260900</v>
      </c>
      <c r="AM170" s="1">
        <v>178400</v>
      </c>
      <c r="AN170" s="1">
        <v>80000</v>
      </c>
      <c r="AO170" s="1">
        <v>387000</v>
      </c>
      <c r="AP170" s="1">
        <v>305800</v>
      </c>
      <c r="AQ170" s="1">
        <v>260000</v>
      </c>
      <c r="AR170" s="1">
        <v>178000</v>
      </c>
      <c r="AS170" s="1">
        <v>292000</v>
      </c>
      <c r="AT170" s="1">
        <v>274000</v>
      </c>
      <c r="AU170" s="1">
        <v>379000</v>
      </c>
      <c r="AV170" s="1">
        <v>304000</v>
      </c>
      <c r="AW170" s="1">
        <v>607000</v>
      </c>
      <c r="AX170" s="1">
        <v>348000</v>
      </c>
      <c r="AY170" s="1">
        <v>363000</v>
      </c>
      <c r="AZ170" s="1">
        <v>488000</v>
      </c>
      <c r="BA170" s="1">
        <v>433000</v>
      </c>
      <c r="BB170" s="1">
        <v>194000</v>
      </c>
      <c r="BC170" s="1">
        <v>284900</v>
      </c>
      <c r="BD170" s="1">
        <v>187600</v>
      </c>
      <c r="BE170" s="1">
        <v>197200</v>
      </c>
      <c r="BF170" s="1">
        <v>351391</v>
      </c>
      <c r="BG170" s="1">
        <v>827342</v>
      </c>
      <c r="BH170" s="1">
        <v>521622</v>
      </c>
      <c r="BI170" s="1">
        <v>603988</v>
      </c>
      <c r="BJ170" s="1">
        <v>714578</v>
      </c>
      <c r="BK170" s="1">
        <v>765295</v>
      </c>
      <c r="BL170" s="1">
        <v>429668</v>
      </c>
      <c r="BM170" s="1">
        <v>752042</v>
      </c>
      <c r="BN170" s="1">
        <v>477005</v>
      </c>
      <c r="BO170" s="1">
        <v>532686</v>
      </c>
      <c r="BP170" s="1">
        <v>181263</v>
      </c>
      <c r="BQ170" s="1">
        <v>482046</v>
      </c>
      <c r="BR170" s="1">
        <v>241442</v>
      </c>
      <c r="BS170" s="1">
        <v>490451</v>
      </c>
      <c r="BT170" s="1">
        <v>899195</v>
      </c>
      <c r="BU170" s="1">
        <v>508423</v>
      </c>
      <c r="BV170" s="1">
        <v>820395</v>
      </c>
      <c r="BW170" s="1">
        <v>676306</v>
      </c>
      <c r="BX170" s="1">
        <v>112154</v>
      </c>
      <c r="BY170" s="1">
        <v>302920</v>
      </c>
      <c r="BZ170" s="1">
        <v>480068</v>
      </c>
      <c r="CA170" s="1">
        <v>453730</v>
      </c>
      <c r="CB170" s="1">
        <v>311195</v>
      </c>
      <c r="CC170" s="1">
        <v>479401</v>
      </c>
      <c r="CD170" s="1">
        <v>603864</v>
      </c>
      <c r="CE170" s="1">
        <v>690802</v>
      </c>
      <c r="CF170" s="1">
        <v>-254667</v>
      </c>
      <c r="CG170" s="1">
        <v>1370884</v>
      </c>
      <c r="CH170" s="1">
        <v>-86634</v>
      </c>
      <c r="CI170" s="1">
        <v>1116856</v>
      </c>
      <c r="CJ170" s="1">
        <v>72948</v>
      </c>
      <c r="CK170" s="1">
        <v>499021</v>
      </c>
      <c r="CL170" s="1">
        <v>573632</v>
      </c>
      <c r="CM170" s="1">
        <v>613620</v>
      </c>
      <c r="CN170" s="1">
        <v>904763</v>
      </c>
      <c r="CO170" s="1">
        <v>505410</v>
      </c>
      <c r="CP170" s="1">
        <v>656025</v>
      </c>
      <c r="CQ170" s="1">
        <v>605397</v>
      </c>
      <c r="CR170" s="1">
        <v>809323</v>
      </c>
      <c r="CS170" s="1">
        <v>1013439</v>
      </c>
      <c r="CT170" s="1">
        <v>890757</v>
      </c>
      <c r="CU170" s="1">
        <v>412156</v>
      </c>
      <c r="CV170" s="1">
        <v>261506</v>
      </c>
      <c r="CW170" s="1">
        <v>779036</v>
      </c>
      <c r="CX170" s="1">
        <v>483379</v>
      </c>
      <c r="CY170" s="1">
        <v>332756.5</v>
      </c>
      <c r="CZ170" s="1">
        <v>549601</v>
      </c>
      <c r="DA170" s="1">
        <v>466918</v>
      </c>
      <c r="DB170" s="1">
        <v>619406</v>
      </c>
      <c r="DC170" s="1">
        <v>753297</v>
      </c>
      <c r="DD170" s="1">
        <v>0</v>
      </c>
      <c r="DE170" s="1">
        <v>0</v>
      </c>
      <c r="DF170" s="1">
        <v>0</v>
      </c>
      <c r="DH170" s="6">
        <f t="shared" si="65"/>
        <v>34640755.899999999</v>
      </c>
    </row>
    <row r="171" spans="1:112" x14ac:dyDescent="0.2">
      <c r="A171" s="5" t="s">
        <v>24</v>
      </c>
      <c r="B171" s="5" t="s">
        <v>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>
        <v>1323.5</v>
      </c>
      <c r="AD171" s="1">
        <v>-157.5</v>
      </c>
      <c r="AE171" s="1">
        <v>11852.2</v>
      </c>
      <c r="AF171" s="1">
        <v>23959</v>
      </c>
      <c r="AG171" s="1">
        <v>38850</v>
      </c>
      <c r="AH171" s="1">
        <v>42300</v>
      </c>
      <c r="AI171" s="1">
        <v>77900</v>
      </c>
      <c r="AJ171" s="1">
        <v>157450</v>
      </c>
      <c r="AK171" s="1">
        <v>136950</v>
      </c>
      <c r="AL171" s="1">
        <v>130450</v>
      </c>
      <c r="AM171" s="1">
        <v>89200</v>
      </c>
      <c r="AN171" s="1">
        <v>40000</v>
      </c>
      <c r="AO171" s="1">
        <v>193500</v>
      </c>
      <c r="AP171" s="1">
        <v>152900</v>
      </c>
      <c r="AQ171" s="1">
        <v>130000</v>
      </c>
      <c r="AR171" s="1">
        <v>89000</v>
      </c>
      <c r="AS171" s="1">
        <v>146000</v>
      </c>
      <c r="AT171" s="1">
        <v>137000</v>
      </c>
      <c r="AU171" s="1">
        <v>189500</v>
      </c>
      <c r="AV171" s="1">
        <v>152000</v>
      </c>
      <c r="AW171" s="1">
        <v>303500</v>
      </c>
      <c r="AX171" s="1">
        <v>174000</v>
      </c>
      <c r="AY171" s="1">
        <v>181500</v>
      </c>
      <c r="AZ171" s="1">
        <v>244000</v>
      </c>
      <c r="BA171" s="1">
        <v>216500</v>
      </c>
      <c r="BB171" s="1">
        <v>97000</v>
      </c>
      <c r="BC171" s="1">
        <v>142450</v>
      </c>
      <c r="BD171" s="1">
        <v>93800</v>
      </c>
      <c r="BE171" s="1">
        <v>98600</v>
      </c>
      <c r="BF171" s="1">
        <v>175695.5</v>
      </c>
      <c r="BG171" s="1">
        <v>413671</v>
      </c>
      <c r="BH171" s="1">
        <v>260811</v>
      </c>
      <c r="BI171" s="1">
        <v>301994</v>
      </c>
      <c r="BJ171" s="1">
        <v>357289</v>
      </c>
      <c r="BK171" s="1">
        <v>382647.5</v>
      </c>
      <c r="BL171" s="1">
        <v>214834</v>
      </c>
      <c r="BM171" s="1">
        <v>376021</v>
      </c>
      <c r="BN171" s="1">
        <v>238502.5</v>
      </c>
      <c r="BO171" s="1">
        <v>266343</v>
      </c>
      <c r="BP171" s="1">
        <v>90631.5</v>
      </c>
      <c r="BQ171" s="1">
        <v>241023</v>
      </c>
      <c r="BR171" s="1">
        <v>120721</v>
      </c>
      <c r="BS171" s="1">
        <v>245225.5</v>
      </c>
      <c r="BT171" s="1">
        <v>449597.5</v>
      </c>
      <c r="BU171" s="1">
        <v>254211.5</v>
      </c>
      <c r="BV171" s="1">
        <v>410197.5</v>
      </c>
      <c r="BW171" s="1">
        <v>338153</v>
      </c>
      <c r="BX171" s="1">
        <v>56077</v>
      </c>
      <c r="BY171" s="1">
        <v>151460</v>
      </c>
      <c r="BZ171" s="1">
        <v>240034</v>
      </c>
      <c r="CA171" s="1">
        <v>226865</v>
      </c>
      <c r="CB171" s="1">
        <v>155597.5</v>
      </c>
      <c r="CC171" s="1">
        <v>239700.5</v>
      </c>
      <c r="CD171" s="1">
        <v>301932</v>
      </c>
      <c r="CE171" s="1">
        <v>345401</v>
      </c>
      <c r="CF171" s="1">
        <v>-127333.5</v>
      </c>
      <c r="CG171" s="1">
        <v>685442</v>
      </c>
      <c r="CH171" s="1">
        <v>-43317</v>
      </c>
      <c r="CI171" s="1">
        <v>558428</v>
      </c>
      <c r="CJ171" s="1">
        <v>36474</v>
      </c>
      <c r="CK171" s="1">
        <v>249510.5</v>
      </c>
      <c r="CL171" s="1">
        <v>286816</v>
      </c>
      <c r="CM171" s="1">
        <v>306810</v>
      </c>
      <c r="CN171" s="1">
        <v>452381.5</v>
      </c>
      <c r="CO171" s="1">
        <v>252705</v>
      </c>
      <c r="CP171" s="1">
        <v>328012.5</v>
      </c>
      <c r="CQ171" s="1">
        <v>302698.5</v>
      </c>
      <c r="CR171" s="1">
        <v>404661.5</v>
      </c>
      <c r="CS171" s="1">
        <v>506719.5</v>
      </c>
      <c r="CT171" s="1">
        <v>445378.5</v>
      </c>
      <c r="CU171" s="1">
        <v>206078</v>
      </c>
      <c r="CV171" s="1">
        <v>130753</v>
      </c>
      <c r="CW171" s="1">
        <v>389518</v>
      </c>
      <c r="CX171" s="1">
        <v>241689.5</v>
      </c>
      <c r="CY171" s="1">
        <v>166378.25</v>
      </c>
      <c r="CZ171" s="1">
        <v>274800.5</v>
      </c>
      <c r="DA171" s="1">
        <v>233459</v>
      </c>
      <c r="DB171" s="1">
        <v>309703</v>
      </c>
      <c r="DC171" s="1">
        <v>376648.5</v>
      </c>
      <c r="DD171" s="1">
        <v>0</v>
      </c>
      <c r="DE171" s="1">
        <v>0</v>
      </c>
      <c r="DF171" s="1">
        <v>0</v>
      </c>
      <c r="DH171" s="6">
        <f t="shared" si="65"/>
        <v>17320377.949999999</v>
      </c>
    </row>
    <row r="172" spans="1:112" x14ac:dyDescent="0.2">
      <c r="A172" s="5" t="str">
        <f>A171</f>
        <v>MT</v>
      </c>
      <c r="B172" s="5" t="s">
        <v>41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H172" s="6">
        <f t="shared" si="65"/>
        <v>0</v>
      </c>
    </row>
    <row r="173" spans="1:112" x14ac:dyDescent="0.2">
      <c r="A173" s="5" t="s">
        <v>25</v>
      </c>
      <c r="B173" s="5" t="s">
        <v>4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>
        <v>659308541</v>
      </c>
      <c r="BZ173" s="1">
        <v>648934226</v>
      </c>
      <c r="CA173" s="1">
        <v>525548571</v>
      </c>
      <c r="CB173" s="1">
        <v>398251463</v>
      </c>
      <c r="CC173" s="1">
        <v>340375353</v>
      </c>
      <c r="CD173" s="1">
        <v>370484774</v>
      </c>
      <c r="CE173" s="1">
        <v>575398078</v>
      </c>
      <c r="CF173" s="1">
        <v>612046491</v>
      </c>
      <c r="CG173" s="1">
        <v>657688077</v>
      </c>
      <c r="CH173" s="1">
        <v>629520783</v>
      </c>
      <c r="CI173" s="1">
        <v>646942020</v>
      </c>
      <c r="CJ173" s="1">
        <v>543402737</v>
      </c>
      <c r="CK173" s="1">
        <v>685003031</v>
      </c>
      <c r="CL173" s="1">
        <v>576209379</v>
      </c>
      <c r="CM173" s="1">
        <v>562236651</v>
      </c>
      <c r="CN173" s="1">
        <v>433184693</v>
      </c>
      <c r="CO173" s="1">
        <v>370385589</v>
      </c>
      <c r="CP173" s="1">
        <v>478665551</v>
      </c>
      <c r="CQ173" s="1">
        <v>686064472</v>
      </c>
      <c r="CR173" s="1">
        <v>811436254</v>
      </c>
      <c r="CS173" s="1">
        <v>813974260</v>
      </c>
      <c r="CT173" s="1">
        <v>665909304</v>
      </c>
      <c r="CU173" s="1">
        <v>686922931</v>
      </c>
      <c r="CV173" s="1">
        <v>596137211</v>
      </c>
      <c r="CW173" s="1">
        <v>726174803</v>
      </c>
      <c r="CX173" s="1">
        <v>612495382</v>
      </c>
      <c r="CY173" s="1">
        <v>578070325</v>
      </c>
      <c r="CZ173" s="1">
        <v>589604507</v>
      </c>
      <c r="DA173" s="1">
        <v>566349684</v>
      </c>
      <c r="DB173" s="1">
        <v>520469336</v>
      </c>
      <c r="DC173" s="1">
        <v>0</v>
      </c>
      <c r="DD173" s="1">
        <v>0</v>
      </c>
      <c r="DE173" s="1">
        <v>0</v>
      </c>
      <c r="DF173" s="1">
        <v>0</v>
      </c>
      <c r="DH173" s="6">
        <f t="shared" si="65"/>
        <v>17567194477</v>
      </c>
    </row>
    <row r="174" spans="1:112" x14ac:dyDescent="0.2">
      <c r="A174" s="5" t="s">
        <v>25</v>
      </c>
      <c r="B174" s="5" t="s">
        <v>42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>
        <v>659308541</v>
      </c>
      <c r="BZ174" s="1">
        <v>648934226</v>
      </c>
      <c r="CA174" s="1">
        <v>525548571</v>
      </c>
      <c r="CB174" s="1">
        <v>398251463</v>
      </c>
      <c r="CC174" s="1">
        <v>340375353</v>
      </c>
      <c r="CD174" s="1">
        <v>370484774</v>
      </c>
      <c r="CE174" s="1">
        <v>575398078</v>
      </c>
      <c r="CF174" s="1">
        <v>612046491</v>
      </c>
      <c r="CG174" s="1">
        <v>657688077</v>
      </c>
      <c r="CH174" s="1">
        <v>629520783</v>
      </c>
      <c r="CI174" s="1">
        <v>646942020</v>
      </c>
      <c r="CJ174" s="1">
        <v>543402737</v>
      </c>
      <c r="CK174" s="1">
        <v>685003031</v>
      </c>
      <c r="CL174" s="1">
        <v>576209379</v>
      </c>
      <c r="CM174" s="1">
        <v>562236651</v>
      </c>
      <c r="CN174" s="1">
        <v>433184693</v>
      </c>
      <c r="CO174" s="1">
        <v>370385589</v>
      </c>
      <c r="CP174" s="1">
        <v>478665551</v>
      </c>
      <c r="CQ174" s="1">
        <v>686064472</v>
      </c>
      <c r="CR174" s="1">
        <v>811436254</v>
      </c>
      <c r="CS174" s="1">
        <v>813974260</v>
      </c>
      <c r="CT174" s="1">
        <v>665909304</v>
      </c>
      <c r="CU174" s="1">
        <v>686922931</v>
      </c>
      <c r="CV174" s="1">
        <v>596137211</v>
      </c>
      <c r="CW174" s="1">
        <v>726174803</v>
      </c>
      <c r="CX174" s="1">
        <v>612495382</v>
      </c>
      <c r="CY174" s="1">
        <v>578070325</v>
      </c>
      <c r="CZ174" s="1">
        <v>589604507</v>
      </c>
      <c r="DA174" s="1">
        <v>566349684</v>
      </c>
      <c r="DB174" s="1">
        <v>520469336</v>
      </c>
      <c r="DC174" s="1">
        <v>0</v>
      </c>
      <c r="DD174" s="1">
        <v>0</v>
      </c>
      <c r="DE174" s="1">
        <v>0</v>
      </c>
      <c r="DF174" s="1">
        <v>0</v>
      </c>
      <c r="DH174" s="6">
        <f t="shared" si="65"/>
        <v>17567194477</v>
      </c>
    </row>
    <row r="175" spans="1:112" x14ac:dyDescent="0.2">
      <c r="A175" s="5" t="s">
        <v>25</v>
      </c>
      <c r="B175" s="5" t="s">
        <v>43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>
        <f t="shared" ref="BY175:DF175" si="81">BY173-BY174</f>
        <v>0</v>
      </c>
      <c r="BZ175" s="1">
        <f t="shared" si="81"/>
        <v>0</v>
      </c>
      <c r="CA175" s="1">
        <f t="shared" si="81"/>
        <v>0</v>
      </c>
      <c r="CB175" s="1">
        <f t="shared" si="81"/>
        <v>0</v>
      </c>
      <c r="CC175" s="1">
        <f t="shared" si="81"/>
        <v>0</v>
      </c>
      <c r="CD175" s="1">
        <f t="shared" si="81"/>
        <v>0</v>
      </c>
      <c r="CE175" s="1">
        <f t="shared" si="81"/>
        <v>0</v>
      </c>
      <c r="CF175" s="1">
        <f t="shared" si="81"/>
        <v>0</v>
      </c>
      <c r="CG175" s="1">
        <f t="shared" si="81"/>
        <v>0</v>
      </c>
      <c r="CH175" s="1">
        <f t="shared" si="81"/>
        <v>0</v>
      </c>
      <c r="CI175" s="1">
        <f t="shared" si="81"/>
        <v>0</v>
      </c>
      <c r="CJ175" s="1">
        <f t="shared" si="81"/>
        <v>0</v>
      </c>
      <c r="CK175" s="1">
        <f t="shared" si="81"/>
        <v>0</v>
      </c>
      <c r="CL175" s="1">
        <f t="shared" si="81"/>
        <v>0</v>
      </c>
      <c r="CM175" s="1">
        <f t="shared" si="81"/>
        <v>0</v>
      </c>
      <c r="CN175" s="1">
        <f t="shared" si="81"/>
        <v>0</v>
      </c>
      <c r="CO175" s="1">
        <f t="shared" si="81"/>
        <v>0</v>
      </c>
      <c r="CP175" s="1">
        <f t="shared" si="81"/>
        <v>0</v>
      </c>
      <c r="CQ175" s="1">
        <f t="shared" si="81"/>
        <v>0</v>
      </c>
      <c r="CR175" s="1">
        <f t="shared" si="81"/>
        <v>0</v>
      </c>
      <c r="CS175" s="1">
        <f t="shared" si="81"/>
        <v>0</v>
      </c>
      <c r="CT175" s="1">
        <f t="shared" si="81"/>
        <v>0</v>
      </c>
      <c r="CU175" s="1">
        <f t="shared" si="81"/>
        <v>0</v>
      </c>
      <c r="CV175" s="1">
        <f t="shared" si="81"/>
        <v>0</v>
      </c>
      <c r="CW175" s="1">
        <f t="shared" si="81"/>
        <v>0</v>
      </c>
      <c r="CX175" s="1">
        <f t="shared" si="81"/>
        <v>0</v>
      </c>
      <c r="CY175" s="1">
        <f t="shared" si="81"/>
        <v>0</v>
      </c>
      <c r="CZ175" s="1">
        <f t="shared" si="81"/>
        <v>0</v>
      </c>
      <c r="DA175" s="1">
        <f t="shared" si="81"/>
        <v>0</v>
      </c>
      <c r="DB175" s="1">
        <f t="shared" si="81"/>
        <v>0</v>
      </c>
      <c r="DC175" s="1">
        <f t="shared" si="81"/>
        <v>0</v>
      </c>
      <c r="DD175" s="1">
        <f t="shared" si="81"/>
        <v>0</v>
      </c>
      <c r="DE175" s="1">
        <f t="shared" si="81"/>
        <v>0</v>
      </c>
      <c r="DF175" s="1">
        <f t="shared" si="81"/>
        <v>0</v>
      </c>
      <c r="DH175" s="6">
        <f t="shared" si="65"/>
        <v>0</v>
      </c>
    </row>
    <row r="176" spans="1:112" x14ac:dyDescent="0.2">
      <c r="A176" s="5" t="s">
        <v>25</v>
      </c>
      <c r="B176" s="5" t="s">
        <v>5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>
        <v>66496213</v>
      </c>
      <c r="BZ176" s="1">
        <v>105251673</v>
      </c>
      <c r="CA176" s="1">
        <v>63080347</v>
      </c>
      <c r="CB176" s="1">
        <v>40302262</v>
      </c>
      <c r="CC176" s="1">
        <v>42226012</v>
      </c>
      <c r="CD176" s="1">
        <v>33751015</v>
      </c>
      <c r="CE176" s="1">
        <v>70062729</v>
      </c>
      <c r="CF176" s="1">
        <v>48659761</v>
      </c>
      <c r="CG176" s="1">
        <v>78096645</v>
      </c>
      <c r="CH176" s="1">
        <v>35716305</v>
      </c>
      <c r="CI176" s="1">
        <v>74530134</v>
      </c>
      <c r="CJ176" s="1">
        <v>55658912</v>
      </c>
      <c r="CK176" s="1">
        <v>38138715</v>
      </c>
      <c r="CL176" s="1">
        <v>46801166</v>
      </c>
      <c r="CM176" s="1">
        <v>65227118</v>
      </c>
      <c r="CN176" s="1">
        <v>58071325</v>
      </c>
      <c r="CO176" s="1">
        <v>22679994</v>
      </c>
      <c r="CP176" s="1">
        <v>54110075</v>
      </c>
      <c r="CQ176" s="1">
        <v>66763868</v>
      </c>
      <c r="CR176" s="1">
        <v>78145630</v>
      </c>
      <c r="CS176" s="1">
        <v>92936200</v>
      </c>
      <c r="CT176" s="1">
        <v>81514516</v>
      </c>
      <c r="CU176" s="1">
        <v>80338763</v>
      </c>
      <c r="CV176" s="1">
        <v>58058337</v>
      </c>
      <c r="CW176" s="1">
        <v>75918636</v>
      </c>
      <c r="CX176" s="1">
        <v>64464939</v>
      </c>
      <c r="CY176" s="1">
        <v>64318908</v>
      </c>
      <c r="CZ176" s="1">
        <v>54140105</v>
      </c>
      <c r="DA176" s="1">
        <v>63215573</v>
      </c>
      <c r="DB176" s="1">
        <v>48990555</v>
      </c>
      <c r="DC176" s="1">
        <v>0</v>
      </c>
      <c r="DD176" s="1">
        <v>0</v>
      </c>
      <c r="DE176" s="1">
        <v>0</v>
      </c>
      <c r="DF176" s="1">
        <v>0</v>
      </c>
      <c r="DH176" s="6">
        <f t="shared" si="65"/>
        <v>1827666431</v>
      </c>
    </row>
    <row r="177" spans="1:112" x14ac:dyDescent="0.2">
      <c r="A177" s="5" t="s">
        <v>25</v>
      </c>
      <c r="B177" s="5" t="s">
        <v>44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>
        <v>66496213</v>
      </c>
      <c r="BZ177" s="1">
        <v>105251673</v>
      </c>
      <c r="CA177" s="1">
        <v>63080347</v>
      </c>
      <c r="CB177" s="1">
        <v>40302262</v>
      </c>
      <c r="CC177" s="1">
        <v>42226012</v>
      </c>
      <c r="CD177" s="1">
        <v>33751015</v>
      </c>
      <c r="CE177" s="1">
        <v>70062729</v>
      </c>
      <c r="CF177" s="1">
        <v>48659761</v>
      </c>
      <c r="CG177" s="1">
        <v>78096645</v>
      </c>
      <c r="CH177" s="1">
        <v>35716305</v>
      </c>
      <c r="CI177" s="1">
        <v>74530134</v>
      </c>
      <c r="CJ177" s="1">
        <v>55658912</v>
      </c>
      <c r="CK177" s="1">
        <v>38138715</v>
      </c>
      <c r="CL177" s="1">
        <v>46801166</v>
      </c>
      <c r="CM177" s="1">
        <v>65227118</v>
      </c>
      <c r="CN177" s="1">
        <v>58071325</v>
      </c>
      <c r="CO177" s="1">
        <v>22679994</v>
      </c>
      <c r="CP177" s="1">
        <v>54110075</v>
      </c>
      <c r="CQ177" s="1">
        <v>66763868</v>
      </c>
      <c r="CR177" s="1">
        <v>78145630</v>
      </c>
      <c r="CS177" s="1">
        <v>92936200</v>
      </c>
      <c r="CT177" s="1">
        <v>81514516</v>
      </c>
      <c r="CU177" s="1">
        <v>80338763</v>
      </c>
      <c r="CV177" s="1">
        <v>58058337</v>
      </c>
      <c r="CW177" s="1">
        <v>75918636</v>
      </c>
      <c r="CX177" s="1">
        <v>64464939</v>
      </c>
      <c r="CY177" s="1">
        <v>64318908</v>
      </c>
      <c r="CZ177" s="1">
        <v>54140105</v>
      </c>
      <c r="DA177" s="1">
        <v>63215573</v>
      </c>
      <c r="DB177" s="1">
        <v>48990555</v>
      </c>
      <c r="DC177" s="1">
        <v>0</v>
      </c>
      <c r="DD177" s="1">
        <v>0</v>
      </c>
      <c r="DE177" s="1">
        <v>0</v>
      </c>
      <c r="DF177" s="1">
        <v>0</v>
      </c>
      <c r="DH177" s="6">
        <f t="shared" si="65"/>
        <v>1827666431</v>
      </c>
    </row>
    <row r="178" spans="1:112" x14ac:dyDescent="0.2">
      <c r="A178" s="5" t="s">
        <v>25</v>
      </c>
      <c r="B178" s="5" t="s">
        <v>45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>
        <f t="shared" ref="BY178:DF178" si="82">BY176-BY177</f>
        <v>0</v>
      </c>
      <c r="BZ178" s="1">
        <f t="shared" si="82"/>
        <v>0</v>
      </c>
      <c r="CA178" s="1">
        <f t="shared" si="82"/>
        <v>0</v>
      </c>
      <c r="CB178" s="1">
        <f t="shared" si="82"/>
        <v>0</v>
      </c>
      <c r="CC178" s="1">
        <f t="shared" si="82"/>
        <v>0</v>
      </c>
      <c r="CD178" s="1">
        <f t="shared" si="82"/>
        <v>0</v>
      </c>
      <c r="CE178" s="1">
        <f t="shared" si="82"/>
        <v>0</v>
      </c>
      <c r="CF178" s="1">
        <f t="shared" si="82"/>
        <v>0</v>
      </c>
      <c r="CG178" s="1">
        <f t="shared" si="82"/>
        <v>0</v>
      </c>
      <c r="CH178" s="1">
        <f t="shared" si="82"/>
        <v>0</v>
      </c>
      <c r="CI178" s="1">
        <f t="shared" si="82"/>
        <v>0</v>
      </c>
      <c r="CJ178" s="1">
        <f t="shared" si="82"/>
        <v>0</v>
      </c>
      <c r="CK178" s="1">
        <f t="shared" si="82"/>
        <v>0</v>
      </c>
      <c r="CL178" s="1">
        <f t="shared" si="82"/>
        <v>0</v>
      </c>
      <c r="CM178" s="1">
        <f t="shared" si="82"/>
        <v>0</v>
      </c>
      <c r="CN178" s="1">
        <f t="shared" si="82"/>
        <v>0</v>
      </c>
      <c r="CO178" s="1">
        <f t="shared" si="82"/>
        <v>0</v>
      </c>
      <c r="CP178" s="1">
        <f t="shared" si="82"/>
        <v>0</v>
      </c>
      <c r="CQ178" s="1">
        <f t="shared" si="82"/>
        <v>0</v>
      </c>
      <c r="CR178" s="1">
        <f t="shared" si="82"/>
        <v>0</v>
      </c>
      <c r="CS178" s="1">
        <f t="shared" si="82"/>
        <v>0</v>
      </c>
      <c r="CT178" s="1">
        <f t="shared" si="82"/>
        <v>0</v>
      </c>
      <c r="CU178" s="1">
        <f t="shared" si="82"/>
        <v>0</v>
      </c>
      <c r="CV178" s="1">
        <f t="shared" si="82"/>
        <v>0</v>
      </c>
      <c r="CW178" s="1">
        <f t="shared" si="82"/>
        <v>0</v>
      </c>
      <c r="CX178" s="1">
        <f t="shared" si="82"/>
        <v>0</v>
      </c>
      <c r="CY178" s="1">
        <f t="shared" si="82"/>
        <v>0</v>
      </c>
      <c r="CZ178" s="1">
        <f t="shared" si="82"/>
        <v>0</v>
      </c>
      <c r="DA178" s="1">
        <f t="shared" si="82"/>
        <v>0</v>
      </c>
      <c r="DB178" s="1">
        <f t="shared" si="82"/>
        <v>0</v>
      </c>
      <c r="DC178" s="1">
        <f t="shared" si="82"/>
        <v>0</v>
      </c>
      <c r="DD178" s="1">
        <f t="shared" si="82"/>
        <v>0</v>
      </c>
      <c r="DE178" s="1">
        <f t="shared" si="82"/>
        <v>0</v>
      </c>
      <c r="DF178" s="1">
        <f t="shared" si="82"/>
        <v>0</v>
      </c>
      <c r="DH178" s="6">
        <f t="shared" si="65"/>
        <v>0</v>
      </c>
    </row>
    <row r="179" spans="1:112" x14ac:dyDescent="0.2">
      <c r="A179" s="5" t="s">
        <v>25</v>
      </c>
      <c r="B179" s="5" t="s">
        <v>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>
        <v>66496213</v>
      </c>
      <c r="BZ179" s="1">
        <v>105251673</v>
      </c>
      <c r="CA179" s="1">
        <v>63080347</v>
      </c>
      <c r="CB179" s="1">
        <v>40302262</v>
      </c>
      <c r="CC179" s="1">
        <v>42226041.399999999</v>
      </c>
      <c r="CD179" s="1">
        <v>33751015</v>
      </c>
      <c r="CE179" s="1">
        <v>70062944.599999994</v>
      </c>
      <c r="CF179" s="1">
        <v>48659761</v>
      </c>
      <c r="CG179" s="1">
        <v>78097704.659999996</v>
      </c>
      <c r="CH179" s="1">
        <v>35717876.850000001</v>
      </c>
      <c r="CI179" s="1">
        <v>74530134</v>
      </c>
      <c r="CJ179" s="1">
        <v>55658912</v>
      </c>
      <c r="CK179" s="1">
        <v>38140361</v>
      </c>
      <c r="CL179" s="1">
        <v>46803712.899999999</v>
      </c>
      <c r="CM179" s="1">
        <v>65227118</v>
      </c>
      <c r="CN179" s="1">
        <v>58071325</v>
      </c>
      <c r="CO179" s="1">
        <v>22679994</v>
      </c>
      <c r="CP179" s="1">
        <v>54110075</v>
      </c>
      <c r="CQ179" s="1">
        <v>66763868</v>
      </c>
      <c r="CR179" s="1">
        <v>78145630</v>
      </c>
      <c r="CS179" s="1">
        <v>92936716</v>
      </c>
      <c r="CT179" s="1">
        <v>81515402</v>
      </c>
      <c r="CU179" s="1">
        <v>80338763</v>
      </c>
      <c r="CV179" s="1">
        <v>58058337</v>
      </c>
      <c r="CW179" s="1">
        <v>75918636</v>
      </c>
      <c r="CX179" s="1">
        <v>64464939</v>
      </c>
      <c r="CY179" s="1">
        <v>64318908</v>
      </c>
      <c r="CZ179" s="1">
        <v>54140105</v>
      </c>
      <c r="DA179" s="1">
        <v>63215573</v>
      </c>
      <c r="DB179" s="1">
        <v>48990555</v>
      </c>
      <c r="DC179" s="1">
        <v>0</v>
      </c>
      <c r="DD179" s="1">
        <v>0</v>
      </c>
      <c r="DE179" s="1">
        <v>0</v>
      </c>
      <c r="DF179" s="1">
        <v>0</v>
      </c>
      <c r="DH179" s="6">
        <f t="shared" si="65"/>
        <v>1827674902.4099998</v>
      </c>
    </row>
    <row r="180" spans="1:112" x14ac:dyDescent="0.2">
      <c r="A180" s="5" t="s">
        <v>25</v>
      </c>
      <c r="B180" s="5" t="s">
        <v>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>
        <v>11969318.34</v>
      </c>
      <c r="BZ180" s="1">
        <v>18945301.140000001</v>
      </c>
      <c r="CA180" s="1">
        <v>11354462.459999999</v>
      </c>
      <c r="CB180" s="1">
        <v>7254407.1600000001</v>
      </c>
      <c r="CC180" s="1">
        <v>7600687.4519999996</v>
      </c>
      <c r="CD180" s="1">
        <v>6075182.7000000002</v>
      </c>
      <c r="CE180" s="1">
        <v>12611330.027999999</v>
      </c>
      <c r="CF180" s="1">
        <v>8758756.9800000004</v>
      </c>
      <c r="CG180" s="1">
        <v>14057586.838799998</v>
      </c>
      <c r="CH180" s="1">
        <v>6429217.8329999996</v>
      </c>
      <c r="CI180" s="1">
        <v>13415424.119999999</v>
      </c>
      <c r="CJ180" s="1">
        <v>10018604.16</v>
      </c>
      <c r="CK180" s="1">
        <v>6865264.9799999995</v>
      </c>
      <c r="CL180" s="1">
        <v>8424668.3219999988</v>
      </c>
      <c r="CM180" s="1">
        <v>11740881.24</v>
      </c>
      <c r="CN180" s="1">
        <v>10452838.5</v>
      </c>
      <c r="CO180" s="1">
        <v>4082398.92</v>
      </c>
      <c r="CP180" s="1">
        <v>9739813.5</v>
      </c>
      <c r="CQ180" s="1">
        <v>12017496.24</v>
      </c>
      <c r="CR180" s="1">
        <v>14066213.4</v>
      </c>
      <c r="CS180" s="1">
        <v>16728608.879999999</v>
      </c>
      <c r="CT180" s="1">
        <v>14672772.359999999</v>
      </c>
      <c r="CU180" s="1">
        <v>14460977.34</v>
      </c>
      <c r="CV180" s="1">
        <v>10450500.66</v>
      </c>
      <c r="CW180" s="1">
        <v>13665354.479999999</v>
      </c>
      <c r="CX180" s="1">
        <v>11603689.02</v>
      </c>
      <c r="CY180" s="1">
        <v>11577403.439999999</v>
      </c>
      <c r="CZ180" s="1">
        <v>9745218.9000000004</v>
      </c>
      <c r="DA180" s="1">
        <v>14539581.790000001</v>
      </c>
      <c r="DB180" s="1">
        <v>11267827.65</v>
      </c>
      <c r="DC180" s="1">
        <v>0</v>
      </c>
      <c r="DD180" s="1">
        <v>0</v>
      </c>
      <c r="DE180" s="1">
        <v>0</v>
      </c>
      <c r="DF180" s="1">
        <v>0</v>
      </c>
      <c r="DH180" s="6">
        <f t="shared" si="65"/>
        <v>334591788.83379996</v>
      </c>
    </row>
    <row r="181" spans="1:112" x14ac:dyDescent="0.2">
      <c r="A181" s="5" t="str">
        <f>A180</f>
        <v>NC</v>
      </c>
      <c r="B181" s="5" t="s">
        <v>41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>
        <v>202605909</v>
      </c>
      <c r="BZ181" s="1">
        <v>79650621</v>
      </c>
      <c r="CA181" s="1">
        <v>30946064</v>
      </c>
      <c r="CB181" s="1">
        <v>16450309</v>
      </c>
      <c r="CC181" s="1">
        <v>12405039</v>
      </c>
      <c r="CD181" s="1">
        <v>13152712</v>
      </c>
      <c r="CE181" s="1">
        <v>37030390</v>
      </c>
      <c r="CF181" s="1">
        <v>22978562</v>
      </c>
      <c r="CG181" s="1">
        <v>19028473</v>
      </c>
      <c r="CH181" s="1">
        <v>16371052</v>
      </c>
      <c r="CI181" s="1">
        <v>23640406</v>
      </c>
      <c r="CJ181" s="1">
        <v>17431633</v>
      </c>
      <c r="CK181" s="1">
        <v>17944458</v>
      </c>
      <c r="CL181" s="1">
        <v>15542940</v>
      </c>
      <c r="CM181" s="1">
        <v>14423796</v>
      </c>
      <c r="CN181" s="1">
        <v>12453639</v>
      </c>
      <c r="CO181" s="1">
        <v>8844097</v>
      </c>
      <c r="CP181" s="1">
        <v>14816488</v>
      </c>
      <c r="CQ181" s="1">
        <v>31967623</v>
      </c>
      <c r="CR181" s="1">
        <v>27129375</v>
      </c>
      <c r="CS181" s="1">
        <v>22277927</v>
      </c>
      <c r="CT181" s="1">
        <v>14782494</v>
      </c>
      <c r="CU181" s="1">
        <v>20219631</v>
      </c>
      <c r="CV181" s="1">
        <v>14450923</v>
      </c>
      <c r="CW181" s="1">
        <v>20803141</v>
      </c>
      <c r="CX181" s="1">
        <v>18027410</v>
      </c>
      <c r="CY181" s="1">
        <v>16881481</v>
      </c>
      <c r="CZ181" s="1">
        <v>18771719</v>
      </c>
      <c r="DA181" s="1">
        <v>14746468</v>
      </c>
      <c r="DB181" s="1">
        <v>12136712</v>
      </c>
      <c r="DC181" s="1">
        <v>0</v>
      </c>
      <c r="DD181" s="1">
        <v>0</v>
      </c>
      <c r="DE181" s="1">
        <v>0</v>
      </c>
      <c r="DF181" s="1">
        <v>0</v>
      </c>
      <c r="DH181" s="6">
        <f t="shared" si="65"/>
        <v>807911492</v>
      </c>
    </row>
    <row r="182" spans="1:112" x14ac:dyDescent="0.2">
      <c r="A182" s="5" t="s">
        <v>26</v>
      </c>
      <c r="B182" s="5" t="s">
        <v>4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>
        <v>1750903.924726838</v>
      </c>
      <c r="BQ182" s="1">
        <v>1671829.6536503995</v>
      </c>
      <c r="BR182" s="1">
        <v>2430718.2012581397</v>
      </c>
      <c r="BS182" s="1">
        <v>5337428.3743783785</v>
      </c>
      <c r="BT182" s="1">
        <v>6526550.604105182</v>
      </c>
      <c r="BU182" s="1">
        <v>7395886.421034161</v>
      </c>
      <c r="BV182" s="1">
        <v>6779915.9651050707</v>
      </c>
      <c r="BW182" s="1">
        <v>6051483.1336324746</v>
      </c>
      <c r="BX182" s="1">
        <v>4852601.0168872951</v>
      </c>
      <c r="BY182" s="1">
        <v>7038403.4684142126</v>
      </c>
      <c r="BZ182" s="1">
        <v>5383875.9222749341</v>
      </c>
      <c r="CA182" s="1">
        <v>4818575.9647774091</v>
      </c>
      <c r="CB182" s="1">
        <v>3989386.2568098148</v>
      </c>
      <c r="CC182" s="1">
        <v>3056508.8805160099</v>
      </c>
      <c r="CD182" s="1">
        <v>3855024.9686224768</v>
      </c>
      <c r="CE182" s="1">
        <v>6963417.2875662893</v>
      </c>
      <c r="CF182" s="1">
        <v>7646299.4575277064</v>
      </c>
      <c r="CG182" s="1">
        <v>7577213.8626840487</v>
      </c>
      <c r="CH182" s="1">
        <v>6817793.5028980551</v>
      </c>
      <c r="CI182" s="1">
        <v>6582064.8573177261</v>
      </c>
      <c r="CJ182" s="1">
        <v>4348818.9100640044</v>
      </c>
      <c r="CK182" s="1">
        <v>7552922.1571830697</v>
      </c>
      <c r="CL182" s="1">
        <v>6646910.890362829</v>
      </c>
      <c r="CM182" s="1">
        <v>5433225.2032088507</v>
      </c>
      <c r="CN182" s="1">
        <v>4341351.1501569115</v>
      </c>
      <c r="CO182" s="1">
        <v>4132595.7391617042</v>
      </c>
      <c r="CP182" s="1">
        <v>5011638.9991381951</v>
      </c>
      <c r="CQ182" s="1">
        <v>8330642.502122459</v>
      </c>
      <c r="CR182" s="1">
        <v>8556508.5728588216</v>
      </c>
      <c r="CS182" s="1">
        <v>8230593.8075761618</v>
      </c>
      <c r="CT182" s="1">
        <v>7513492.9630536074</v>
      </c>
      <c r="CU182" s="1">
        <v>6727636.7393126423</v>
      </c>
      <c r="CV182" s="1">
        <v>4961177.8229908366</v>
      </c>
      <c r="CW182" s="1">
        <v>7916009.6547629004</v>
      </c>
      <c r="CX182" s="1">
        <v>6541087.4074829174</v>
      </c>
      <c r="CY182" s="1">
        <v>5551581.5653709201</v>
      </c>
      <c r="CZ182" s="1">
        <v>4515647.4903589189</v>
      </c>
      <c r="DA182" s="1">
        <v>3888008.4921103232</v>
      </c>
      <c r="DB182" s="1">
        <v>4744177.351555327</v>
      </c>
      <c r="DC182" s="1">
        <v>0</v>
      </c>
      <c r="DD182" s="1">
        <v>0</v>
      </c>
      <c r="DE182" s="1">
        <v>0</v>
      </c>
      <c r="DF182" s="1">
        <v>0</v>
      </c>
      <c r="DH182" s="6">
        <f t="shared" si="65"/>
        <v>221469909.14301801</v>
      </c>
    </row>
    <row r="183" spans="1:112" x14ac:dyDescent="0.2">
      <c r="A183" s="5" t="s">
        <v>26</v>
      </c>
      <c r="B183" s="5" t="s">
        <v>42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H183" s="6">
        <f t="shared" si="65"/>
        <v>0</v>
      </c>
    </row>
    <row r="184" spans="1:112" x14ac:dyDescent="0.2">
      <c r="A184" s="5" t="s">
        <v>26</v>
      </c>
      <c r="B184" s="5" t="s">
        <v>43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>
        <f t="shared" ref="BP184:DF184" si="83">BP182-BP183</f>
        <v>1750903.924726838</v>
      </c>
      <c r="BQ184" s="1">
        <f t="shared" si="83"/>
        <v>1671829.6536503995</v>
      </c>
      <c r="BR184" s="1">
        <f t="shared" si="83"/>
        <v>2430718.2012581397</v>
      </c>
      <c r="BS184" s="1">
        <f t="shared" si="83"/>
        <v>5337428.3743783785</v>
      </c>
      <c r="BT184" s="1">
        <f t="shared" si="83"/>
        <v>6526550.604105182</v>
      </c>
      <c r="BU184" s="1">
        <f t="shared" si="83"/>
        <v>7395886.421034161</v>
      </c>
      <c r="BV184" s="1">
        <f t="shared" si="83"/>
        <v>6779915.9651050707</v>
      </c>
      <c r="BW184" s="1">
        <f t="shared" si="83"/>
        <v>6051483.1336324746</v>
      </c>
      <c r="BX184" s="1">
        <f t="shared" si="83"/>
        <v>4852601.0168872951</v>
      </c>
      <c r="BY184" s="1">
        <f t="shared" si="83"/>
        <v>7038403.4684142126</v>
      </c>
      <c r="BZ184" s="1">
        <f t="shared" si="83"/>
        <v>5383875.9222749341</v>
      </c>
      <c r="CA184" s="1">
        <f t="shared" si="83"/>
        <v>4818575.9647774091</v>
      </c>
      <c r="CB184" s="1">
        <f t="shared" si="83"/>
        <v>3989386.2568098148</v>
      </c>
      <c r="CC184" s="1">
        <f t="shared" si="83"/>
        <v>3056508.8805160099</v>
      </c>
      <c r="CD184" s="1">
        <f t="shared" si="83"/>
        <v>3855024.9686224768</v>
      </c>
      <c r="CE184" s="1">
        <f t="shared" si="83"/>
        <v>6963417.2875662893</v>
      </c>
      <c r="CF184" s="1">
        <f t="shared" si="83"/>
        <v>7646299.4575277064</v>
      </c>
      <c r="CG184" s="1">
        <f t="shared" si="83"/>
        <v>7577213.8626840487</v>
      </c>
      <c r="CH184" s="1">
        <f t="shared" si="83"/>
        <v>6817793.5028980551</v>
      </c>
      <c r="CI184" s="1">
        <f t="shared" si="83"/>
        <v>6582064.8573177261</v>
      </c>
      <c r="CJ184" s="1">
        <f t="shared" si="83"/>
        <v>4348818.9100640044</v>
      </c>
      <c r="CK184" s="1">
        <f t="shared" si="83"/>
        <v>7552922.1571830697</v>
      </c>
      <c r="CL184" s="1">
        <f t="shared" si="83"/>
        <v>6646910.890362829</v>
      </c>
      <c r="CM184" s="1">
        <f t="shared" si="83"/>
        <v>5433225.2032088507</v>
      </c>
      <c r="CN184" s="1">
        <f t="shared" si="83"/>
        <v>4341351.1501569115</v>
      </c>
      <c r="CO184" s="1">
        <f t="shared" si="83"/>
        <v>4132595.7391617042</v>
      </c>
      <c r="CP184" s="1">
        <f t="shared" si="83"/>
        <v>5011638.9991381951</v>
      </c>
      <c r="CQ184" s="1">
        <f t="shared" si="83"/>
        <v>8330642.502122459</v>
      </c>
      <c r="CR184" s="1">
        <f t="shared" si="83"/>
        <v>8556508.5728588216</v>
      </c>
      <c r="CS184" s="1">
        <f t="shared" si="83"/>
        <v>8230593.8075761618</v>
      </c>
      <c r="CT184" s="1">
        <f t="shared" si="83"/>
        <v>7513492.9630536074</v>
      </c>
      <c r="CU184" s="1">
        <f t="shared" si="83"/>
        <v>6727636.7393126423</v>
      </c>
      <c r="CV184" s="1">
        <f t="shared" si="83"/>
        <v>4961177.8229908366</v>
      </c>
      <c r="CW184" s="1">
        <f t="shared" si="83"/>
        <v>7916009.6547629004</v>
      </c>
      <c r="CX184" s="1">
        <f t="shared" si="83"/>
        <v>6541087.4074829174</v>
      </c>
      <c r="CY184" s="1">
        <f t="shared" si="83"/>
        <v>5551581.5653709201</v>
      </c>
      <c r="CZ184" s="1">
        <f t="shared" si="83"/>
        <v>4515647.4903589189</v>
      </c>
      <c r="DA184" s="1">
        <f t="shared" si="83"/>
        <v>3888008.4921103232</v>
      </c>
      <c r="DB184" s="1">
        <f t="shared" si="83"/>
        <v>4744177.351555327</v>
      </c>
      <c r="DC184" s="1">
        <f t="shared" si="83"/>
        <v>0</v>
      </c>
      <c r="DD184" s="1">
        <f t="shared" si="83"/>
        <v>0</v>
      </c>
      <c r="DE184" s="1">
        <f t="shared" si="83"/>
        <v>0</v>
      </c>
      <c r="DF184" s="1">
        <f t="shared" si="83"/>
        <v>0</v>
      </c>
      <c r="DH184" s="6">
        <f t="shared" si="65"/>
        <v>221469909.14301801</v>
      </c>
    </row>
    <row r="185" spans="1:112" x14ac:dyDescent="0.2">
      <c r="A185" s="5" t="s">
        <v>26</v>
      </c>
      <c r="B185" s="5" t="s">
        <v>5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>
        <v>-508.1</v>
      </c>
      <c r="BQ185" s="1">
        <v>82113.16</v>
      </c>
      <c r="BR185" s="1">
        <v>105651.37999999999</v>
      </c>
      <c r="BS185" s="1">
        <v>247606.93</v>
      </c>
      <c r="BT185" s="1">
        <v>385174.55</v>
      </c>
      <c r="BU185" s="1">
        <v>325100.87</v>
      </c>
      <c r="BV185" s="1">
        <v>633810.73</v>
      </c>
      <c r="BW185" s="1">
        <v>410236.6</v>
      </c>
      <c r="BX185" s="1">
        <v>133106.32</v>
      </c>
      <c r="BY185" s="1">
        <v>449532.70000000007</v>
      </c>
      <c r="BZ185" s="1">
        <v>377202.33999999997</v>
      </c>
      <c r="CA185" s="1">
        <v>340514.55</v>
      </c>
      <c r="CB185" s="1">
        <v>318532.41000000003</v>
      </c>
      <c r="CC185" s="1">
        <v>248029.97</v>
      </c>
      <c r="CD185" s="1">
        <v>175009</v>
      </c>
      <c r="CE185" s="1">
        <v>697768.51</v>
      </c>
      <c r="CF185" s="1">
        <v>483803.3</v>
      </c>
      <c r="CG185" s="1">
        <v>1205515.28</v>
      </c>
      <c r="CH185" s="1">
        <v>-125209.59</v>
      </c>
      <c r="CI185" s="1">
        <v>857053.29</v>
      </c>
      <c r="CJ185" s="1">
        <v>606058.22</v>
      </c>
      <c r="CK185" s="1">
        <v>315736.65000000002</v>
      </c>
      <c r="CL185" s="1">
        <v>496207.74000000005</v>
      </c>
      <c r="CM185" s="1">
        <v>801978.40000000014</v>
      </c>
      <c r="CN185" s="1">
        <v>667032.06000000006</v>
      </c>
      <c r="CO185" s="1">
        <v>401042.46</v>
      </c>
      <c r="CP185" s="1">
        <v>876969.05</v>
      </c>
      <c r="CQ185" s="1">
        <v>577755.39999999991</v>
      </c>
      <c r="CR185" s="1">
        <v>1022568.23</v>
      </c>
      <c r="CS185" s="1">
        <v>1506723.34</v>
      </c>
      <c r="CT185" s="1">
        <v>1148161.6600000001</v>
      </c>
      <c r="CU185" s="1">
        <v>1021266.9099999999</v>
      </c>
      <c r="CV185" s="1">
        <v>877695.87</v>
      </c>
      <c r="CW185" s="1">
        <v>791353.01</v>
      </c>
      <c r="CX185" s="1">
        <v>760268.57000000007</v>
      </c>
      <c r="CY185" s="1">
        <v>523246.01999999996</v>
      </c>
      <c r="CZ185" s="1">
        <v>663225.09</v>
      </c>
      <c r="DA185" s="1">
        <v>574488.12</v>
      </c>
      <c r="DB185" s="1">
        <v>386048.14</v>
      </c>
      <c r="DC185" s="1">
        <v>0</v>
      </c>
      <c r="DD185" s="1">
        <v>0</v>
      </c>
      <c r="DE185" s="1">
        <v>0</v>
      </c>
      <c r="DF185" s="1">
        <v>0</v>
      </c>
      <c r="DH185" s="6">
        <f t="shared" si="65"/>
        <v>21367869.140000008</v>
      </c>
    </row>
    <row r="186" spans="1:112" x14ac:dyDescent="0.2">
      <c r="A186" s="5" t="s">
        <v>26</v>
      </c>
      <c r="B186" s="5" t="s">
        <v>44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H186" s="6">
        <f t="shared" si="65"/>
        <v>0</v>
      </c>
    </row>
    <row r="187" spans="1:112" x14ac:dyDescent="0.2">
      <c r="A187" s="5" t="s">
        <v>26</v>
      </c>
      <c r="B187" s="5" t="s">
        <v>45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>
        <f t="shared" ref="BP187:DF187" si="84">BP185-BP186</f>
        <v>-508.1</v>
      </c>
      <c r="BQ187" s="1">
        <f t="shared" si="84"/>
        <v>82113.16</v>
      </c>
      <c r="BR187" s="1">
        <f t="shared" si="84"/>
        <v>105651.37999999999</v>
      </c>
      <c r="BS187" s="1">
        <f t="shared" si="84"/>
        <v>247606.93</v>
      </c>
      <c r="BT187" s="1">
        <f t="shared" si="84"/>
        <v>385174.55</v>
      </c>
      <c r="BU187" s="1">
        <f t="shared" si="84"/>
        <v>325100.87</v>
      </c>
      <c r="BV187" s="1">
        <f t="shared" si="84"/>
        <v>633810.73</v>
      </c>
      <c r="BW187" s="1">
        <f t="shared" si="84"/>
        <v>410236.6</v>
      </c>
      <c r="BX187" s="1">
        <f t="shared" si="84"/>
        <v>133106.32</v>
      </c>
      <c r="BY187" s="1">
        <f t="shared" si="84"/>
        <v>449532.70000000007</v>
      </c>
      <c r="BZ187" s="1">
        <f t="shared" si="84"/>
        <v>377202.33999999997</v>
      </c>
      <c r="CA187" s="1">
        <f t="shared" si="84"/>
        <v>340514.55</v>
      </c>
      <c r="CB187" s="1">
        <f t="shared" si="84"/>
        <v>318532.41000000003</v>
      </c>
      <c r="CC187" s="1">
        <f t="shared" si="84"/>
        <v>248029.97</v>
      </c>
      <c r="CD187" s="1">
        <f t="shared" si="84"/>
        <v>175009</v>
      </c>
      <c r="CE187" s="1">
        <f t="shared" si="84"/>
        <v>697768.51</v>
      </c>
      <c r="CF187" s="1">
        <f t="shared" si="84"/>
        <v>483803.3</v>
      </c>
      <c r="CG187" s="1">
        <f t="shared" si="84"/>
        <v>1205515.28</v>
      </c>
      <c r="CH187" s="1">
        <f t="shared" si="84"/>
        <v>-125209.59</v>
      </c>
      <c r="CI187" s="1">
        <f t="shared" si="84"/>
        <v>857053.29</v>
      </c>
      <c r="CJ187" s="1">
        <f t="shared" si="84"/>
        <v>606058.22</v>
      </c>
      <c r="CK187" s="1">
        <f t="shared" si="84"/>
        <v>315736.65000000002</v>
      </c>
      <c r="CL187" s="1">
        <f t="shared" si="84"/>
        <v>496207.74000000005</v>
      </c>
      <c r="CM187" s="1">
        <f t="shared" si="84"/>
        <v>801978.40000000014</v>
      </c>
      <c r="CN187" s="1">
        <f t="shared" si="84"/>
        <v>667032.06000000006</v>
      </c>
      <c r="CO187" s="1">
        <f t="shared" si="84"/>
        <v>401042.46</v>
      </c>
      <c r="CP187" s="1">
        <f t="shared" si="84"/>
        <v>876969.05</v>
      </c>
      <c r="CQ187" s="1">
        <f t="shared" si="84"/>
        <v>577755.39999999991</v>
      </c>
      <c r="CR187" s="1">
        <f t="shared" si="84"/>
        <v>1022568.23</v>
      </c>
      <c r="CS187" s="1">
        <f t="shared" si="84"/>
        <v>1506723.34</v>
      </c>
      <c r="CT187" s="1">
        <f t="shared" si="84"/>
        <v>1148161.6600000001</v>
      </c>
      <c r="CU187" s="1">
        <f t="shared" si="84"/>
        <v>1021266.9099999999</v>
      </c>
      <c r="CV187" s="1">
        <f t="shared" si="84"/>
        <v>877695.87</v>
      </c>
      <c r="CW187" s="1">
        <f t="shared" si="84"/>
        <v>791353.01</v>
      </c>
      <c r="CX187" s="1">
        <f t="shared" si="84"/>
        <v>760268.57000000007</v>
      </c>
      <c r="CY187" s="1">
        <f t="shared" si="84"/>
        <v>523246.01999999996</v>
      </c>
      <c r="CZ187" s="1">
        <f t="shared" si="84"/>
        <v>663225.09</v>
      </c>
      <c r="DA187" s="1">
        <f t="shared" si="84"/>
        <v>574488.12</v>
      </c>
      <c r="DB187" s="1">
        <f t="shared" si="84"/>
        <v>386048.14</v>
      </c>
      <c r="DC187" s="1">
        <f t="shared" si="84"/>
        <v>0</v>
      </c>
      <c r="DD187" s="1">
        <f t="shared" si="84"/>
        <v>0</v>
      </c>
      <c r="DE187" s="1">
        <f t="shared" si="84"/>
        <v>0</v>
      </c>
      <c r="DF187" s="1">
        <f t="shared" si="84"/>
        <v>0</v>
      </c>
      <c r="DH187" s="6">
        <f t="shared" si="65"/>
        <v>21367869.140000008</v>
      </c>
    </row>
    <row r="188" spans="1:112" x14ac:dyDescent="0.2">
      <c r="A188" s="5" t="s">
        <v>26</v>
      </c>
      <c r="B188" s="5" t="s">
        <v>6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>
        <v>-508.1</v>
      </c>
      <c r="BQ188" s="1">
        <v>82113.16</v>
      </c>
      <c r="BR188" s="1">
        <v>105651.37999999999</v>
      </c>
      <c r="BS188" s="1">
        <v>247606.93</v>
      </c>
      <c r="BT188" s="1">
        <v>385174.55</v>
      </c>
      <c r="BU188" s="1">
        <v>325100.87</v>
      </c>
      <c r="BV188" s="1">
        <v>633810.73</v>
      </c>
      <c r="BW188" s="1">
        <v>410236.6</v>
      </c>
      <c r="BX188" s="1">
        <v>133106.32</v>
      </c>
      <c r="BY188" s="1">
        <v>449532.70000000007</v>
      </c>
      <c r="BZ188" s="1">
        <v>377202.33999999997</v>
      </c>
      <c r="CA188" s="1">
        <v>340514.55</v>
      </c>
      <c r="CB188" s="1">
        <v>318532.41000000003</v>
      </c>
      <c r="CC188" s="1">
        <v>248029.97</v>
      </c>
      <c r="CD188" s="1">
        <v>175009</v>
      </c>
      <c r="CE188" s="1">
        <v>697768.51</v>
      </c>
      <c r="CF188" s="1">
        <v>483803.3</v>
      </c>
      <c r="CG188" s="1">
        <v>1205515.28</v>
      </c>
      <c r="CH188" s="1">
        <v>-125209.59</v>
      </c>
      <c r="CI188" s="1">
        <v>857053.29</v>
      </c>
      <c r="CJ188" s="1">
        <v>606058.22</v>
      </c>
      <c r="CK188" s="1">
        <v>315736.65000000002</v>
      </c>
      <c r="CL188" s="1">
        <v>496207.74000000005</v>
      </c>
      <c r="CM188" s="1">
        <v>801978.40000000014</v>
      </c>
      <c r="CN188" s="1">
        <v>667032.06000000006</v>
      </c>
      <c r="CO188" s="1">
        <v>401042.46</v>
      </c>
      <c r="CP188" s="1">
        <v>876969.05</v>
      </c>
      <c r="CQ188" s="1">
        <v>577755.39999999991</v>
      </c>
      <c r="CR188" s="1">
        <v>1022568.23</v>
      </c>
      <c r="CS188" s="1">
        <v>1506723.34</v>
      </c>
      <c r="CT188" s="1">
        <v>1148161.6600000001</v>
      </c>
      <c r="CU188" s="1">
        <v>1021266.9099999999</v>
      </c>
      <c r="CV188" s="1">
        <v>877695.87</v>
      </c>
      <c r="CW188" s="1">
        <v>791353.01</v>
      </c>
      <c r="CX188" s="1">
        <v>760268.57000000007</v>
      </c>
      <c r="CY188" s="1">
        <v>523246.01999999996</v>
      </c>
      <c r="CZ188" s="1">
        <v>663225.09</v>
      </c>
      <c r="DA188" s="1">
        <v>574488.12</v>
      </c>
      <c r="DB188" s="1">
        <v>386048.14</v>
      </c>
      <c r="DC188" s="1">
        <v>0</v>
      </c>
      <c r="DD188" s="1">
        <v>0</v>
      </c>
      <c r="DE188" s="1">
        <v>0</v>
      </c>
      <c r="DF188" s="1">
        <v>0</v>
      </c>
      <c r="DH188" s="6">
        <f t="shared" si="65"/>
        <v>21367869.140000008</v>
      </c>
    </row>
    <row r="189" spans="1:112" x14ac:dyDescent="0.2">
      <c r="A189" s="5" t="s">
        <v>26</v>
      </c>
      <c r="B189" s="5" t="s">
        <v>7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>
        <v>-101.62</v>
      </c>
      <c r="BQ189" s="1">
        <v>16422.632000000001</v>
      </c>
      <c r="BR189" s="1">
        <v>21130.275999999998</v>
      </c>
      <c r="BS189" s="1">
        <v>49521.385999999999</v>
      </c>
      <c r="BT189" s="1">
        <v>77034.91</v>
      </c>
      <c r="BU189" s="1">
        <v>65020.173999999999</v>
      </c>
      <c r="BV189" s="1">
        <v>126762.14600000001</v>
      </c>
      <c r="BW189" s="1">
        <v>82047.320000000007</v>
      </c>
      <c r="BX189" s="1">
        <v>26621.264000000003</v>
      </c>
      <c r="BY189" s="1">
        <v>89906.540000000023</v>
      </c>
      <c r="BZ189" s="1">
        <v>75440.467999999993</v>
      </c>
      <c r="CA189" s="1">
        <v>68102.91</v>
      </c>
      <c r="CB189" s="1">
        <v>63706.482000000011</v>
      </c>
      <c r="CC189" s="1">
        <v>49605.994000000006</v>
      </c>
      <c r="CD189" s="1">
        <v>35001.800000000003</v>
      </c>
      <c r="CE189" s="1">
        <v>139553.70200000002</v>
      </c>
      <c r="CF189" s="1">
        <v>96760.66</v>
      </c>
      <c r="CG189" s="1">
        <v>241103.05600000001</v>
      </c>
      <c r="CH189" s="1">
        <v>-25041.918000000001</v>
      </c>
      <c r="CI189" s="1">
        <v>171410.65800000002</v>
      </c>
      <c r="CJ189" s="1">
        <v>121211.644</v>
      </c>
      <c r="CK189" s="1">
        <v>63147.330000000009</v>
      </c>
      <c r="CL189" s="1">
        <v>99241.54800000001</v>
      </c>
      <c r="CM189" s="1">
        <v>160395.68000000005</v>
      </c>
      <c r="CN189" s="1">
        <v>133406.41200000001</v>
      </c>
      <c r="CO189" s="1">
        <v>80208.492000000013</v>
      </c>
      <c r="CP189" s="1">
        <v>175393.81000000003</v>
      </c>
      <c r="CQ189" s="1">
        <v>115551.07999999999</v>
      </c>
      <c r="CR189" s="1">
        <v>204513.64600000001</v>
      </c>
      <c r="CS189" s="1">
        <v>301344.66800000001</v>
      </c>
      <c r="CT189" s="1">
        <v>229632.33200000005</v>
      </c>
      <c r="CU189" s="1">
        <v>204253.38199999998</v>
      </c>
      <c r="CV189" s="1">
        <v>175539.174</v>
      </c>
      <c r="CW189" s="1">
        <v>158270.60200000001</v>
      </c>
      <c r="CX189" s="1">
        <v>152053.71400000001</v>
      </c>
      <c r="CY189" s="1">
        <v>104649.204</v>
      </c>
      <c r="CZ189" s="1">
        <v>132645.01800000001</v>
      </c>
      <c r="DA189" s="1">
        <v>114897.62400000001</v>
      </c>
      <c r="DB189" s="1">
        <v>77209.628000000012</v>
      </c>
      <c r="DC189" s="1">
        <v>0</v>
      </c>
      <c r="DD189" s="1">
        <v>0</v>
      </c>
      <c r="DE189" s="1">
        <v>0</v>
      </c>
      <c r="DF189" s="1">
        <v>0</v>
      </c>
      <c r="DH189" s="6">
        <f t="shared" si="65"/>
        <v>4273573.8280000007</v>
      </c>
    </row>
    <row r="190" spans="1:112" x14ac:dyDescent="0.2">
      <c r="A190" s="5" t="str">
        <f>A189</f>
        <v>NE</v>
      </c>
      <c r="B190" s="5" t="s">
        <v>41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H190" s="6">
        <f t="shared" si="65"/>
        <v>0</v>
      </c>
    </row>
    <row r="191" spans="1:112" x14ac:dyDescent="0.2">
      <c r="A191" s="5" t="s">
        <v>27</v>
      </c>
      <c r="B191" s="5" t="s">
        <v>4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>
        <v>360726</v>
      </c>
      <c r="AA191" s="1">
        <v>16834974</v>
      </c>
      <c r="AB191" s="1">
        <v>22130928</v>
      </c>
      <c r="AC191" s="1">
        <v>8768769</v>
      </c>
      <c r="AD191" s="1">
        <v>3774668</v>
      </c>
      <c r="AE191" s="1">
        <v>7180450</v>
      </c>
      <c r="AF191" s="1">
        <v>8138772</v>
      </c>
      <c r="AG191" s="1">
        <v>11623208</v>
      </c>
      <c r="AH191" s="1">
        <v>27496050</v>
      </c>
      <c r="AI191" s="1">
        <v>41373620</v>
      </c>
      <c r="AJ191" s="1">
        <v>47055486</v>
      </c>
      <c r="AK191" s="1">
        <v>46523447</v>
      </c>
      <c r="AL191" s="1">
        <v>51649897</v>
      </c>
      <c r="AM191" s="1">
        <v>59795433</v>
      </c>
      <c r="AN191" s="1">
        <v>50995349</v>
      </c>
      <c r="AO191" s="1">
        <v>55800096</v>
      </c>
      <c r="AP191" s="1">
        <v>46700713</v>
      </c>
      <c r="AQ191" s="1">
        <v>42367380</v>
      </c>
      <c r="AR191" s="1">
        <v>39268179</v>
      </c>
      <c r="AS191" s="1">
        <v>36724166</v>
      </c>
      <c r="AT191" s="1">
        <v>36319740</v>
      </c>
      <c r="AU191" s="1">
        <v>68123241</v>
      </c>
      <c r="AV191" s="1">
        <v>98191306</v>
      </c>
      <c r="AW191" s="1">
        <v>83168805</v>
      </c>
      <c r="AX191" s="1">
        <v>86444639</v>
      </c>
      <c r="AY191" s="1">
        <v>99540825</v>
      </c>
      <c r="AZ191" s="1">
        <v>70866282</v>
      </c>
      <c r="BA191" s="1">
        <v>78811441</v>
      </c>
      <c r="BB191" s="1">
        <v>73149079</v>
      </c>
      <c r="BC191" s="1">
        <v>76199157</v>
      </c>
      <c r="BD191" s="1">
        <v>53567757</v>
      </c>
      <c r="BE191" s="1">
        <v>42653152</v>
      </c>
      <c r="BF191" s="1">
        <v>43372007</v>
      </c>
      <c r="BG191" s="1">
        <v>78237751</v>
      </c>
      <c r="BH191" s="1">
        <v>91345018</v>
      </c>
      <c r="BI191" s="1">
        <v>93090530</v>
      </c>
      <c r="BJ191" s="1">
        <v>90894581</v>
      </c>
      <c r="BK191" s="1">
        <v>97163182</v>
      </c>
      <c r="BL191" s="1">
        <v>86999460</v>
      </c>
      <c r="BM191" s="1">
        <v>103390747</v>
      </c>
      <c r="BN191" s="1">
        <v>65083883</v>
      </c>
      <c r="BO191" s="1">
        <v>52137614</v>
      </c>
      <c r="BP191" s="1">
        <v>39307739</v>
      </c>
      <c r="BQ191" s="1">
        <v>36929342</v>
      </c>
      <c r="BR191" s="1">
        <v>38765940</v>
      </c>
      <c r="BS191" s="1">
        <v>66848811</v>
      </c>
      <c r="BT191" s="1">
        <v>77838540</v>
      </c>
      <c r="BU191" s="1">
        <v>78491464</v>
      </c>
      <c r="BV191" s="1">
        <v>78750681</v>
      </c>
      <c r="BW191" s="1">
        <v>73301559</v>
      </c>
      <c r="BX191" s="1">
        <v>62274731</v>
      </c>
      <c r="BY191" s="1">
        <v>72597059</v>
      </c>
      <c r="BZ191" s="1">
        <v>59854282</v>
      </c>
      <c r="CA191" s="1">
        <v>58030362</v>
      </c>
      <c r="CB191" s="1">
        <v>49390844</v>
      </c>
      <c r="CC191" s="1">
        <v>48323804</v>
      </c>
      <c r="CD191" s="1">
        <v>49374544</v>
      </c>
      <c r="CE191" s="1">
        <v>72763323</v>
      </c>
      <c r="CF191" s="1">
        <v>79350927</v>
      </c>
      <c r="CG191" s="1">
        <v>87260891</v>
      </c>
      <c r="CH191" s="1">
        <v>80860363</v>
      </c>
      <c r="CI191" s="1">
        <v>78945312</v>
      </c>
      <c r="CJ191" s="1">
        <v>63260876</v>
      </c>
      <c r="CK191" s="1">
        <v>77467758</v>
      </c>
      <c r="CL191" s="1">
        <v>68763478</v>
      </c>
      <c r="CM191" s="1">
        <v>61465858</v>
      </c>
      <c r="CN191" s="1">
        <v>50555000</v>
      </c>
      <c r="CO191" s="1">
        <v>47393114</v>
      </c>
      <c r="CP191" s="1">
        <v>68232828</v>
      </c>
      <c r="CQ191" s="1">
        <v>82125434</v>
      </c>
      <c r="CR191" s="1">
        <v>90896581</v>
      </c>
      <c r="CS191" s="1">
        <v>95973807</v>
      </c>
      <c r="CT191" s="1">
        <v>95569107</v>
      </c>
      <c r="CU191" s="1">
        <v>90919030</v>
      </c>
      <c r="CV191" s="1">
        <v>70401670</v>
      </c>
      <c r="CW191" s="1">
        <v>81314530</v>
      </c>
      <c r="CX191" s="1">
        <v>72637074</v>
      </c>
      <c r="CY191" s="1">
        <v>60919268</v>
      </c>
      <c r="CZ191" s="1">
        <v>71063780</v>
      </c>
      <c r="DA191" s="1">
        <v>68867187</v>
      </c>
      <c r="DB191" s="1">
        <v>66284177</v>
      </c>
      <c r="DC191" s="1">
        <v>0</v>
      </c>
      <c r="DD191" s="1">
        <v>0</v>
      </c>
      <c r="DE191" s="1">
        <v>0</v>
      </c>
      <c r="DF191" s="1">
        <v>0</v>
      </c>
      <c r="DH191" s="6">
        <f t="shared" si="65"/>
        <v>4966683583</v>
      </c>
    </row>
    <row r="192" spans="1:112" x14ac:dyDescent="0.2">
      <c r="A192" s="5" t="s">
        <v>27</v>
      </c>
      <c r="B192" s="5" t="s">
        <v>42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>
        <v>360726</v>
      </c>
      <c r="AA192" s="1">
        <v>16834974</v>
      </c>
      <c r="AB192" s="1">
        <v>22130928</v>
      </c>
      <c r="AC192" s="1">
        <v>8768769</v>
      </c>
      <c r="AD192" s="1">
        <v>3774668</v>
      </c>
      <c r="AE192" s="1">
        <v>7180450</v>
      </c>
      <c r="AF192" s="1">
        <v>8138772</v>
      </c>
      <c r="AG192" s="1">
        <v>11623208</v>
      </c>
      <c r="AH192" s="1">
        <v>26382353</v>
      </c>
      <c r="AI192" s="1">
        <v>36567245</v>
      </c>
      <c r="AJ192" s="1">
        <v>40220374</v>
      </c>
      <c r="AK192" s="1">
        <v>38882400</v>
      </c>
      <c r="AL192" s="1">
        <v>43686699</v>
      </c>
      <c r="AM192" s="1">
        <v>49439331</v>
      </c>
      <c r="AN192" s="1">
        <v>42974847</v>
      </c>
      <c r="AO192" s="1">
        <v>44440621</v>
      </c>
      <c r="AP192" s="1">
        <v>37415700</v>
      </c>
      <c r="AQ192" s="1">
        <v>33274616</v>
      </c>
      <c r="AR192" s="1">
        <v>31090707</v>
      </c>
      <c r="AS192" s="1">
        <v>30373909</v>
      </c>
      <c r="AT192" s="1">
        <v>29560430</v>
      </c>
      <c r="AU192" s="1">
        <v>50460826</v>
      </c>
      <c r="AV192" s="1">
        <v>68132951</v>
      </c>
      <c r="AW192" s="1">
        <v>62348260</v>
      </c>
      <c r="AX192" s="1">
        <v>65593938</v>
      </c>
      <c r="AY192" s="1">
        <v>81563536</v>
      </c>
      <c r="AZ192" s="1">
        <v>59086952</v>
      </c>
      <c r="BA192" s="1">
        <v>60326141</v>
      </c>
      <c r="BB192" s="1">
        <v>60454171</v>
      </c>
      <c r="BC192" s="1">
        <v>60874485</v>
      </c>
      <c r="BD192" s="1">
        <v>41561094</v>
      </c>
      <c r="BE192" s="1">
        <v>33107030</v>
      </c>
      <c r="BF192" s="1">
        <v>32872783</v>
      </c>
      <c r="BG192" s="1">
        <v>58471931</v>
      </c>
      <c r="BH192" s="1">
        <v>68245641</v>
      </c>
      <c r="BI192" s="1">
        <v>69074740</v>
      </c>
      <c r="BJ192" s="1">
        <v>65888549</v>
      </c>
      <c r="BK192" s="1">
        <v>75249874</v>
      </c>
      <c r="BL192" s="1">
        <v>75498683</v>
      </c>
      <c r="BM192" s="1">
        <v>93413387</v>
      </c>
      <c r="BN192" s="1">
        <v>56831246</v>
      </c>
      <c r="BO192" s="1">
        <v>46417776</v>
      </c>
      <c r="BP192" s="1">
        <v>34768185</v>
      </c>
      <c r="BQ192" s="1">
        <v>33426390</v>
      </c>
      <c r="BR192" s="1">
        <v>34772502</v>
      </c>
      <c r="BS192" s="1">
        <v>59197156</v>
      </c>
      <c r="BT192" s="1">
        <v>65850210</v>
      </c>
      <c r="BU192" s="1">
        <v>67863781</v>
      </c>
      <c r="BV192" s="1">
        <v>67014348</v>
      </c>
      <c r="BW192" s="1">
        <v>62716731</v>
      </c>
      <c r="BX192" s="1">
        <v>55852659</v>
      </c>
      <c r="BY192" s="1">
        <v>65018943</v>
      </c>
      <c r="BZ192" s="1">
        <v>53517274</v>
      </c>
      <c r="CA192" s="1">
        <v>51697952</v>
      </c>
      <c r="CB192" s="1">
        <v>44555937</v>
      </c>
      <c r="CC192" s="1">
        <v>45397482</v>
      </c>
      <c r="CD192" s="1">
        <v>45777247</v>
      </c>
      <c r="CE192" s="1">
        <v>64325088</v>
      </c>
      <c r="CF192" s="1">
        <v>69544157</v>
      </c>
      <c r="CG192" s="1">
        <v>75079014</v>
      </c>
      <c r="CH192" s="1">
        <v>71614850</v>
      </c>
      <c r="CI192" s="1">
        <v>71750567</v>
      </c>
      <c r="CJ192" s="1">
        <v>58872159</v>
      </c>
      <c r="CK192" s="1">
        <v>70323366</v>
      </c>
      <c r="CL192" s="1">
        <v>63309368</v>
      </c>
      <c r="CM192" s="1">
        <v>56401060</v>
      </c>
      <c r="CN192" s="1">
        <v>47202145</v>
      </c>
      <c r="CO192" s="1">
        <v>44191929</v>
      </c>
      <c r="CP192" s="1">
        <v>64883144</v>
      </c>
      <c r="CQ192" s="1">
        <v>75346773</v>
      </c>
      <c r="CR192" s="1">
        <v>81588579</v>
      </c>
      <c r="CS192" s="1">
        <v>86591288</v>
      </c>
      <c r="CT192" s="1">
        <v>85483184</v>
      </c>
      <c r="CU192" s="1">
        <v>82125911</v>
      </c>
      <c r="CV192" s="1">
        <v>65324170</v>
      </c>
      <c r="CW192" s="1">
        <v>76710052</v>
      </c>
      <c r="CX192" s="1">
        <v>68445094</v>
      </c>
      <c r="CY192" s="1">
        <v>56950120</v>
      </c>
      <c r="CZ192" s="1">
        <v>67236407</v>
      </c>
      <c r="DA192" s="1">
        <v>64609513</v>
      </c>
      <c r="DB192" s="1">
        <v>62051621</v>
      </c>
      <c r="DC192" s="1">
        <v>0</v>
      </c>
      <c r="DD192" s="1">
        <v>0</v>
      </c>
      <c r="DE192" s="1">
        <v>0</v>
      </c>
      <c r="DF192" s="1">
        <v>0</v>
      </c>
      <c r="DH192" s="6">
        <f t="shared" si="65"/>
        <v>4265982077</v>
      </c>
    </row>
    <row r="193" spans="1:112" x14ac:dyDescent="0.2">
      <c r="A193" s="5" t="s">
        <v>27</v>
      </c>
      <c r="B193" s="5" t="s">
        <v>43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>
        <f t="shared" ref="Z193:CK193" si="85">Z191-Z192</f>
        <v>0</v>
      </c>
      <c r="AA193" s="1">
        <f t="shared" si="85"/>
        <v>0</v>
      </c>
      <c r="AB193" s="1">
        <f t="shared" si="85"/>
        <v>0</v>
      </c>
      <c r="AC193" s="1">
        <f t="shared" si="85"/>
        <v>0</v>
      </c>
      <c r="AD193" s="1">
        <f t="shared" si="85"/>
        <v>0</v>
      </c>
      <c r="AE193" s="1">
        <f t="shared" si="85"/>
        <v>0</v>
      </c>
      <c r="AF193" s="1">
        <f t="shared" si="85"/>
        <v>0</v>
      </c>
      <c r="AG193" s="1">
        <f t="shared" si="85"/>
        <v>0</v>
      </c>
      <c r="AH193" s="1">
        <f t="shared" si="85"/>
        <v>1113697</v>
      </c>
      <c r="AI193" s="1">
        <f t="shared" si="85"/>
        <v>4806375</v>
      </c>
      <c r="AJ193" s="1">
        <f t="shared" si="85"/>
        <v>6835112</v>
      </c>
      <c r="AK193" s="1">
        <f t="shared" si="85"/>
        <v>7641047</v>
      </c>
      <c r="AL193" s="1">
        <f t="shared" si="85"/>
        <v>7963198</v>
      </c>
      <c r="AM193" s="1">
        <f t="shared" si="85"/>
        <v>10356102</v>
      </c>
      <c r="AN193" s="1">
        <f t="shared" si="85"/>
        <v>8020502</v>
      </c>
      <c r="AO193" s="1">
        <f t="shared" si="85"/>
        <v>11359475</v>
      </c>
      <c r="AP193" s="1">
        <f t="shared" si="85"/>
        <v>9285013</v>
      </c>
      <c r="AQ193" s="1">
        <f t="shared" si="85"/>
        <v>9092764</v>
      </c>
      <c r="AR193" s="1">
        <f t="shared" si="85"/>
        <v>8177472</v>
      </c>
      <c r="AS193" s="1">
        <f t="shared" si="85"/>
        <v>6350257</v>
      </c>
      <c r="AT193" s="1">
        <f t="shared" si="85"/>
        <v>6759310</v>
      </c>
      <c r="AU193" s="1">
        <f t="shared" si="85"/>
        <v>17662415</v>
      </c>
      <c r="AV193" s="1">
        <f t="shared" si="85"/>
        <v>30058355</v>
      </c>
      <c r="AW193" s="1">
        <f t="shared" si="85"/>
        <v>20820545</v>
      </c>
      <c r="AX193" s="1">
        <f t="shared" si="85"/>
        <v>20850701</v>
      </c>
      <c r="AY193" s="1">
        <f t="shared" si="85"/>
        <v>17977289</v>
      </c>
      <c r="AZ193" s="1">
        <f t="shared" si="85"/>
        <v>11779330</v>
      </c>
      <c r="BA193" s="1">
        <f t="shared" si="85"/>
        <v>18485300</v>
      </c>
      <c r="BB193" s="1">
        <f t="shared" si="85"/>
        <v>12694908</v>
      </c>
      <c r="BC193" s="1">
        <f t="shared" si="85"/>
        <v>15324672</v>
      </c>
      <c r="BD193" s="1">
        <f t="shared" si="85"/>
        <v>12006663</v>
      </c>
      <c r="BE193" s="1">
        <f t="shared" si="85"/>
        <v>9546122</v>
      </c>
      <c r="BF193" s="1">
        <f t="shared" si="85"/>
        <v>10499224</v>
      </c>
      <c r="BG193" s="1">
        <f t="shared" si="85"/>
        <v>19765820</v>
      </c>
      <c r="BH193" s="1">
        <f t="shared" si="85"/>
        <v>23099377</v>
      </c>
      <c r="BI193" s="1">
        <f t="shared" si="85"/>
        <v>24015790</v>
      </c>
      <c r="BJ193" s="1">
        <f t="shared" si="85"/>
        <v>25006032</v>
      </c>
      <c r="BK193" s="1">
        <f t="shared" si="85"/>
        <v>21913308</v>
      </c>
      <c r="BL193" s="1">
        <f t="shared" si="85"/>
        <v>11500777</v>
      </c>
      <c r="BM193" s="1">
        <f t="shared" si="85"/>
        <v>9977360</v>
      </c>
      <c r="BN193" s="1">
        <f t="shared" si="85"/>
        <v>8252637</v>
      </c>
      <c r="BO193" s="1">
        <f t="shared" si="85"/>
        <v>5719838</v>
      </c>
      <c r="BP193" s="1">
        <f t="shared" si="85"/>
        <v>4539554</v>
      </c>
      <c r="BQ193" s="1">
        <f t="shared" si="85"/>
        <v>3502952</v>
      </c>
      <c r="BR193" s="1">
        <f t="shared" si="85"/>
        <v>3993438</v>
      </c>
      <c r="BS193" s="1">
        <f t="shared" si="85"/>
        <v>7651655</v>
      </c>
      <c r="BT193" s="1">
        <f t="shared" si="85"/>
        <v>11988330</v>
      </c>
      <c r="BU193" s="1">
        <f t="shared" si="85"/>
        <v>10627683</v>
      </c>
      <c r="BV193" s="1">
        <f t="shared" si="85"/>
        <v>11736333</v>
      </c>
      <c r="BW193" s="1">
        <f t="shared" si="85"/>
        <v>10584828</v>
      </c>
      <c r="BX193" s="1">
        <f t="shared" si="85"/>
        <v>6422072</v>
      </c>
      <c r="BY193" s="1">
        <f t="shared" si="85"/>
        <v>7578116</v>
      </c>
      <c r="BZ193" s="1">
        <f t="shared" si="85"/>
        <v>6337008</v>
      </c>
      <c r="CA193" s="1">
        <f t="shared" si="85"/>
        <v>6332410</v>
      </c>
      <c r="CB193" s="1">
        <f t="shared" si="85"/>
        <v>4834907</v>
      </c>
      <c r="CC193" s="1">
        <f t="shared" si="85"/>
        <v>2926322</v>
      </c>
      <c r="CD193" s="1">
        <f t="shared" si="85"/>
        <v>3597297</v>
      </c>
      <c r="CE193" s="1">
        <f t="shared" si="85"/>
        <v>8438235</v>
      </c>
      <c r="CF193" s="1">
        <f t="shared" si="85"/>
        <v>9806770</v>
      </c>
      <c r="CG193" s="1">
        <f t="shared" si="85"/>
        <v>12181877</v>
      </c>
      <c r="CH193" s="1">
        <f t="shared" si="85"/>
        <v>9245513</v>
      </c>
      <c r="CI193" s="1">
        <f t="shared" si="85"/>
        <v>7194745</v>
      </c>
      <c r="CJ193" s="1">
        <f t="shared" si="85"/>
        <v>4388717</v>
      </c>
      <c r="CK193" s="1">
        <f t="shared" si="85"/>
        <v>7144392</v>
      </c>
      <c r="CL193" s="1">
        <f t="shared" ref="CL193:DF193" si="86">CL191-CL192</f>
        <v>5454110</v>
      </c>
      <c r="CM193" s="1">
        <f t="shared" si="86"/>
        <v>5064798</v>
      </c>
      <c r="CN193" s="1">
        <f t="shared" si="86"/>
        <v>3352855</v>
      </c>
      <c r="CO193" s="1">
        <f t="shared" si="86"/>
        <v>3201185</v>
      </c>
      <c r="CP193" s="1">
        <f t="shared" si="86"/>
        <v>3349684</v>
      </c>
      <c r="CQ193" s="1">
        <f t="shared" si="86"/>
        <v>6778661</v>
      </c>
      <c r="CR193" s="1">
        <f t="shared" si="86"/>
        <v>9308002</v>
      </c>
      <c r="CS193" s="1">
        <f t="shared" si="86"/>
        <v>9382519</v>
      </c>
      <c r="CT193" s="1">
        <f t="shared" si="86"/>
        <v>10085923</v>
      </c>
      <c r="CU193" s="1">
        <f t="shared" si="86"/>
        <v>8793119</v>
      </c>
      <c r="CV193" s="1">
        <f t="shared" si="86"/>
        <v>5077500</v>
      </c>
      <c r="CW193" s="1">
        <f t="shared" si="86"/>
        <v>4604478</v>
      </c>
      <c r="CX193" s="1">
        <f t="shared" si="86"/>
        <v>4191980</v>
      </c>
      <c r="CY193" s="1">
        <f t="shared" si="86"/>
        <v>3969148</v>
      </c>
      <c r="CZ193" s="1">
        <f t="shared" si="86"/>
        <v>3827373</v>
      </c>
      <c r="DA193" s="1">
        <f t="shared" si="86"/>
        <v>4257674</v>
      </c>
      <c r="DB193" s="1">
        <f t="shared" si="86"/>
        <v>4232556</v>
      </c>
      <c r="DC193" s="1">
        <f t="shared" si="86"/>
        <v>0</v>
      </c>
      <c r="DD193" s="1">
        <f t="shared" si="86"/>
        <v>0</v>
      </c>
      <c r="DE193" s="1">
        <f t="shared" si="86"/>
        <v>0</v>
      </c>
      <c r="DF193" s="1">
        <f t="shared" si="86"/>
        <v>0</v>
      </c>
      <c r="DH193" s="6">
        <f t="shared" si="65"/>
        <v>700701506</v>
      </c>
    </row>
    <row r="194" spans="1:112" x14ac:dyDescent="0.2">
      <c r="A194" s="5" t="s">
        <v>27</v>
      </c>
      <c r="B194" s="5" t="s">
        <v>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>
        <v>44759</v>
      </c>
      <c r="AA194" s="1">
        <v>1643793</v>
      </c>
      <c r="AB194" s="1">
        <v>1359395</v>
      </c>
      <c r="AC194" s="1">
        <v>818605</v>
      </c>
      <c r="AD194" s="1">
        <v>262393</v>
      </c>
      <c r="AE194" s="1">
        <v>424947</v>
      </c>
      <c r="AF194" s="1">
        <v>691103</v>
      </c>
      <c r="AG194" s="1">
        <v>1268688</v>
      </c>
      <c r="AH194" s="1">
        <v>1366338</v>
      </c>
      <c r="AI194" s="1">
        <v>2290364</v>
      </c>
      <c r="AJ194" s="1">
        <v>4203875</v>
      </c>
      <c r="AK194" s="1">
        <v>4770459</v>
      </c>
      <c r="AL194" s="1">
        <v>4537653</v>
      </c>
      <c r="AM194" s="1">
        <v>4197029</v>
      </c>
      <c r="AN194" s="1">
        <v>1787930</v>
      </c>
      <c r="AO194" s="1">
        <v>4254732</v>
      </c>
      <c r="AP194" s="1">
        <v>3302340</v>
      </c>
      <c r="AQ194" s="1">
        <v>3115230</v>
      </c>
      <c r="AR194" s="1">
        <v>3869773</v>
      </c>
      <c r="AS194" s="1">
        <v>3062545</v>
      </c>
      <c r="AT194" s="1">
        <v>1594235</v>
      </c>
      <c r="AU194" s="1">
        <v>4420924</v>
      </c>
      <c r="AV194" s="1">
        <v>5409196</v>
      </c>
      <c r="AW194" s="1">
        <v>6172580</v>
      </c>
      <c r="AX194" s="1">
        <v>2641046</v>
      </c>
      <c r="AY194" s="1">
        <v>8029427</v>
      </c>
      <c r="AZ194" s="1">
        <v>1019098</v>
      </c>
      <c r="BA194" s="1">
        <v>5283248</v>
      </c>
      <c r="BB194" s="1">
        <v>3436446</v>
      </c>
      <c r="BC194" s="1">
        <v>5720931</v>
      </c>
      <c r="BD194" s="1">
        <v>4819197</v>
      </c>
      <c r="BE194" s="1">
        <v>4476145</v>
      </c>
      <c r="BF194" s="1">
        <v>4199240</v>
      </c>
      <c r="BG194" s="1">
        <v>7358206</v>
      </c>
      <c r="BH194" s="1">
        <v>9078684</v>
      </c>
      <c r="BI194" s="1">
        <v>4963601</v>
      </c>
      <c r="BJ194" s="1">
        <v>8330161</v>
      </c>
      <c r="BK194" s="1">
        <v>12564448</v>
      </c>
      <c r="BL194" s="1">
        <v>7112918</v>
      </c>
      <c r="BM194" s="1">
        <v>4828031</v>
      </c>
      <c r="BN194" s="1">
        <v>6670481</v>
      </c>
      <c r="BO194" s="1">
        <v>7042469</v>
      </c>
      <c r="BP194" s="1">
        <v>4372429</v>
      </c>
      <c r="BQ194" s="1">
        <v>3511866</v>
      </c>
      <c r="BR194" s="1">
        <v>3344211</v>
      </c>
      <c r="BS194" s="1">
        <v>6178362</v>
      </c>
      <c r="BT194" s="1">
        <v>8781951</v>
      </c>
      <c r="BU194" s="1">
        <v>8228924</v>
      </c>
      <c r="BV194" s="1">
        <v>7652564</v>
      </c>
      <c r="BW194" s="1">
        <v>9820633</v>
      </c>
      <c r="BX194" s="1">
        <v>6585297</v>
      </c>
      <c r="BY194" s="1">
        <v>5585067</v>
      </c>
      <c r="BZ194" s="1">
        <v>5331763</v>
      </c>
      <c r="CA194" s="1">
        <v>6516847</v>
      </c>
      <c r="CB194" s="1">
        <v>5277087</v>
      </c>
      <c r="CC194" s="1">
        <v>3530238</v>
      </c>
      <c r="CD194" s="1">
        <v>3382540</v>
      </c>
      <c r="CE194" s="1">
        <v>9259141</v>
      </c>
      <c r="CF194" s="1">
        <v>5867086</v>
      </c>
      <c r="CG194" s="1">
        <v>10477103</v>
      </c>
      <c r="CH194" s="1">
        <v>7435524</v>
      </c>
      <c r="CI194" s="1">
        <v>11139731</v>
      </c>
      <c r="CJ194" s="1">
        <v>8000193</v>
      </c>
      <c r="CK194" s="1">
        <v>6792080</v>
      </c>
      <c r="CL194" s="1">
        <v>7652632</v>
      </c>
      <c r="CM194" s="1">
        <v>8064113</v>
      </c>
      <c r="CN194" s="1">
        <v>6890532</v>
      </c>
      <c r="CO194" s="1">
        <v>5315372</v>
      </c>
      <c r="CP194" s="1">
        <v>6466670</v>
      </c>
      <c r="CQ194" s="1">
        <v>7225752</v>
      </c>
      <c r="CR194" s="1">
        <v>10218462</v>
      </c>
      <c r="CS194" s="1">
        <v>13927774</v>
      </c>
      <c r="CT194" s="1">
        <v>11943711</v>
      </c>
      <c r="CU194" s="1">
        <v>10632753</v>
      </c>
      <c r="CV194" s="1">
        <v>10475954</v>
      </c>
      <c r="CW194" s="1">
        <v>7738559</v>
      </c>
      <c r="CX194" s="1">
        <v>9281817</v>
      </c>
      <c r="CY194" s="1">
        <v>7986249</v>
      </c>
      <c r="CZ194" s="1">
        <v>6962309</v>
      </c>
      <c r="DA194" s="1">
        <v>7464026</v>
      </c>
      <c r="DB194" s="1">
        <v>6445829</v>
      </c>
      <c r="DC194" s="1">
        <v>0</v>
      </c>
      <c r="DD194" s="1">
        <v>0</v>
      </c>
      <c r="DE194" s="1">
        <v>0</v>
      </c>
      <c r="DF194" s="1">
        <v>0</v>
      </c>
      <c r="DH194" s="6">
        <f t="shared" ref="DH194:DH257" si="87">SUM(C194:DF194)</f>
        <v>464205814</v>
      </c>
    </row>
    <row r="195" spans="1:112" x14ac:dyDescent="0.2">
      <c r="A195" s="5" t="s">
        <v>27</v>
      </c>
      <c r="B195" s="5" t="s">
        <v>44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>
        <v>44759</v>
      </c>
      <c r="AA195" s="1">
        <v>1643793</v>
      </c>
      <c r="AB195" s="1">
        <v>1359395</v>
      </c>
      <c r="AC195" s="1">
        <v>818605</v>
      </c>
      <c r="AD195" s="1">
        <v>262393</v>
      </c>
      <c r="AE195" s="1">
        <v>424947</v>
      </c>
      <c r="AF195" s="1">
        <v>691103</v>
      </c>
      <c r="AG195" s="1">
        <v>1268688</v>
      </c>
      <c r="AH195" s="1">
        <v>1299975</v>
      </c>
      <c r="AI195" s="1">
        <v>2320266</v>
      </c>
      <c r="AJ195" s="1">
        <v>3753726</v>
      </c>
      <c r="AK195" s="1">
        <v>3804994</v>
      </c>
      <c r="AL195" s="1">
        <v>3707069</v>
      </c>
      <c r="AM195" s="1">
        <v>3189485</v>
      </c>
      <c r="AN195" s="1">
        <v>1722897</v>
      </c>
      <c r="AO195" s="1">
        <v>3341246</v>
      </c>
      <c r="AP195" s="1">
        <v>2272601</v>
      </c>
      <c r="AQ195" s="1">
        <v>2240970</v>
      </c>
      <c r="AR195" s="1">
        <v>2553478</v>
      </c>
      <c r="AS195" s="1">
        <v>2264940</v>
      </c>
      <c r="AT195" s="1">
        <v>1498343</v>
      </c>
      <c r="AU195" s="1">
        <v>3872372</v>
      </c>
      <c r="AV195" s="1">
        <v>3992843</v>
      </c>
      <c r="AW195" s="1">
        <v>5622590</v>
      </c>
      <c r="AX195" s="1">
        <v>2442512</v>
      </c>
      <c r="AY195" s="1">
        <v>7123578</v>
      </c>
      <c r="AZ195" s="1">
        <v>14595</v>
      </c>
      <c r="BA195" s="1">
        <v>4822828</v>
      </c>
      <c r="BB195" s="1">
        <v>2852679</v>
      </c>
      <c r="BC195" s="1">
        <v>5550127</v>
      </c>
      <c r="BD195" s="1">
        <v>3911294</v>
      </c>
      <c r="BE195" s="1">
        <v>3707934</v>
      </c>
      <c r="BF195" s="1">
        <v>3813128</v>
      </c>
      <c r="BG195" s="1">
        <v>7732294</v>
      </c>
      <c r="BH195" s="1">
        <v>6619799</v>
      </c>
      <c r="BI195" s="1">
        <v>5385720</v>
      </c>
      <c r="BJ195" s="1">
        <v>7940526</v>
      </c>
      <c r="BK195" s="1">
        <v>8010858</v>
      </c>
      <c r="BL195" s="1">
        <v>7144854</v>
      </c>
      <c r="BM195" s="1">
        <v>2769152</v>
      </c>
      <c r="BN195" s="1">
        <v>6083726</v>
      </c>
      <c r="BO195" s="1">
        <v>6128045</v>
      </c>
      <c r="BP195" s="1">
        <v>3733024</v>
      </c>
      <c r="BQ195" s="1">
        <v>3112222</v>
      </c>
      <c r="BR195" s="1">
        <v>3073976</v>
      </c>
      <c r="BS195" s="1">
        <v>5568488</v>
      </c>
      <c r="BT195" s="1">
        <v>8447518</v>
      </c>
      <c r="BU195" s="1">
        <v>6647080</v>
      </c>
      <c r="BV195" s="1">
        <v>6680525</v>
      </c>
      <c r="BW195" s="1">
        <v>8869554</v>
      </c>
      <c r="BX195" s="1">
        <v>5974762</v>
      </c>
      <c r="BY195" s="1">
        <v>4984164</v>
      </c>
      <c r="BZ195" s="1">
        <v>5308590</v>
      </c>
      <c r="CA195" s="1">
        <v>5864577</v>
      </c>
      <c r="CB195" s="1">
        <v>4877822</v>
      </c>
      <c r="CC195" s="1">
        <v>3260739</v>
      </c>
      <c r="CD195" s="1">
        <v>3072100</v>
      </c>
      <c r="CE195" s="1">
        <v>9187117</v>
      </c>
      <c r="CF195" s="1">
        <v>5492169</v>
      </c>
      <c r="CG195" s="1">
        <v>10182264</v>
      </c>
      <c r="CH195" s="1">
        <v>5803808</v>
      </c>
      <c r="CI195" s="1">
        <v>10667323</v>
      </c>
      <c r="CJ195" s="1">
        <v>7592691</v>
      </c>
      <c r="CK195" s="1">
        <v>5716635</v>
      </c>
      <c r="CL195" s="1">
        <v>7105407</v>
      </c>
      <c r="CM195" s="1">
        <v>7437177</v>
      </c>
      <c r="CN195" s="1">
        <v>6474181</v>
      </c>
      <c r="CO195" s="1">
        <v>4880547</v>
      </c>
      <c r="CP195" s="1">
        <v>6102869</v>
      </c>
      <c r="CQ195" s="1">
        <v>6754149</v>
      </c>
      <c r="CR195" s="1">
        <v>8762993</v>
      </c>
      <c r="CS195" s="1">
        <v>12516300</v>
      </c>
      <c r="CT195" s="1">
        <v>10512834</v>
      </c>
      <c r="CU195" s="1">
        <v>10015905</v>
      </c>
      <c r="CV195" s="1">
        <v>9235767</v>
      </c>
      <c r="CW195" s="1">
        <v>7484975</v>
      </c>
      <c r="CX195" s="1">
        <v>8655764</v>
      </c>
      <c r="CY195" s="1">
        <v>7398951</v>
      </c>
      <c r="CZ195" s="1">
        <v>6545873</v>
      </c>
      <c r="DA195" s="1">
        <v>7313470</v>
      </c>
      <c r="DB195" s="1">
        <v>6005902</v>
      </c>
      <c r="DC195" s="1">
        <v>0</v>
      </c>
      <c r="DD195" s="1">
        <v>0</v>
      </c>
      <c r="DE195" s="1">
        <v>0</v>
      </c>
      <c r="DF195" s="1">
        <v>0</v>
      </c>
      <c r="DH195" s="6">
        <f t="shared" si="87"/>
        <v>413345339</v>
      </c>
    </row>
    <row r="196" spans="1:112" x14ac:dyDescent="0.2">
      <c r="A196" s="5" t="s">
        <v>27</v>
      </c>
      <c r="B196" s="5" t="s">
        <v>45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>
        <f t="shared" ref="Z196:CK196" si="88">Z194-Z195</f>
        <v>0</v>
      </c>
      <c r="AA196" s="1">
        <f t="shared" si="88"/>
        <v>0</v>
      </c>
      <c r="AB196" s="1">
        <f t="shared" si="88"/>
        <v>0</v>
      </c>
      <c r="AC196" s="1">
        <f t="shared" si="88"/>
        <v>0</v>
      </c>
      <c r="AD196" s="1">
        <f t="shared" si="88"/>
        <v>0</v>
      </c>
      <c r="AE196" s="1">
        <f t="shared" si="88"/>
        <v>0</v>
      </c>
      <c r="AF196" s="1">
        <f t="shared" si="88"/>
        <v>0</v>
      </c>
      <c r="AG196" s="1">
        <f t="shared" si="88"/>
        <v>0</v>
      </c>
      <c r="AH196" s="1">
        <f t="shared" si="88"/>
        <v>66363</v>
      </c>
      <c r="AI196" s="1">
        <f t="shared" si="88"/>
        <v>-29902</v>
      </c>
      <c r="AJ196" s="1">
        <f t="shared" si="88"/>
        <v>450149</v>
      </c>
      <c r="AK196" s="1">
        <f t="shared" si="88"/>
        <v>965465</v>
      </c>
      <c r="AL196" s="1">
        <f t="shared" si="88"/>
        <v>830584</v>
      </c>
      <c r="AM196" s="1">
        <f t="shared" si="88"/>
        <v>1007544</v>
      </c>
      <c r="AN196" s="1">
        <f t="shared" si="88"/>
        <v>65033</v>
      </c>
      <c r="AO196" s="1">
        <f t="shared" si="88"/>
        <v>913486</v>
      </c>
      <c r="AP196" s="1">
        <f t="shared" si="88"/>
        <v>1029739</v>
      </c>
      <c r="AQ196" s="1">
        <f t="shared" si="88"/>
        <v>874260</v>
      </c>
      <c r="AR196" s="1">
        <f t="shared" si="88"/>
        <v>1316295</v>
      </c>
      <c r="AS196" s="1">
        <f t="shared" si="88"/>
        <v>797605</v>
      </c>
      <c r="AT196" s="1">
        <f t="shared" si="88"/>
        <v>95892</v>
      </c>
      <c r="AU196" s="1">
        <f t="shared" si="88"/>
        <v>548552</v>
      </c>
      <c r="AV196" s="1">
        <f t="shared" si="88"/>
        <v>1416353</v>
      </c>
      <c r="AW196" s="1">
        <f t="shared" si="88"/>
        <v>549990</v>
      </c>
      <c r="AX196" s="1">
        <f t="shared" si="88"/>
        <v>198534</v>
      </c>
      <c r="AY196" s="1">
        <f t="shared" si="88"/>
        <v>905849</v>
      </c>
      <c r="AZ196" s="1">
        <f t="shared" si="88"/>
        <v>1004503</v>
      </c>
      <c r="BA196" s="1">
        <f t="shared" si="88"/>
        <v>460420</v>
      </c>
      <c r="BB196" s="1">
        <f t="shared" si="88"/>
        <v>583767</v>
      </c>
      <c r="BC196" s="1">
        <f t="shared" si="88"/>
        <v>170804</v>
      </c>
      <c r="BD196" s="1">
        <f t="shared" si="88"/>
        <v>907903</v>
      </c>
      <c r="BE196" s="1">
        <f t="shared" si="88"/>
        <v>768211</v>
      </c>
      <c r="BF196" s="1">
        <f t="shared" si="88"/>
        <v>386112</v>
      </c>
      <c r="BG196" s="1">
        <f t="shared" si="88"/>
        <v>-374088</v>
      </c>
      <c r="BH196" s="1">
        <f t="shared" si="88"/>
        <v>2458885</v>
      </c>
      <c r="BI196" s="1">
        <f t="shared" si="88"/>
        <v>-422119</v>
      </c>
      <c r="BJ196" s="1">
        <f t="shared" si="88"/>
        <v>389635</v>
      </c>
      <c r="BK196" s="1">
        <f t="shared" si="88"/>
        <v>4553590</v>
      </c>
      <c r="BL196" s="1">
        <f t="shared" si="88"/>
        <v>-31936</v>
      </c>
      <c r="BM196" s="1">
        <f t="shared" si="88"/>
        <v>2058879</v>
      </c>
      <c r="BN196" s="1">
        <f t="shared" si="88"/>
        <v>586755</v>
      </c>
      <c r="BO196" s="1">
        <f t="shared" si="88"/>
        <v>914424</v>
      </c>
      <c r="BP196" s="1">
        <f t="shared" si="88"/>
        <v>639405</v>
      </c>
      <c r="BQ196" s="1">
        <f t="shared" si="88"/>
        <v>399644</v>
      </c>
      <c r="BR196" s="1">
        <f t="shared" si="88"/>
        <v>270235</v>
      </c>
      <c r="BS196" s="1">
        <f t="shared" si="88"/>
        <v>609874</v>
      </c>
      <c r="BT196" s="1">
        <f t="shared" si="88"/>
        <v>334433</v>
      </c>
      <c r="BU196" s="1">
        <f t="shared" si="88"/>
        <v>1581844</v>
      </c>
      <c r="BV196" s="1">
        <f t="shared" si="88"/>
        <v>972039</v>
      </c>
      <c r="BW196" s="1">
        <f t="shared" si="88"/>
        <v>951079</v>
      </c>
      <c r="BX196" s="1">
        <f t="shared" si="88"/>
        <v>610535</v>
      </c>
      <c r="BY196" s="1">
        <f t="shared" si="88"/>
        <v>600903</v>
      </c>
      <c r="BZ196" s="1">
        <f t="shared" si="88"/>
        <v>23173</v>
      </c>
      <c r="CA196" s="1">
        <f t="shared" si="88"/>
        <v>652270</v>
      </c>
      <c r="CB196" s="1">
        <f t="shared" si="88"/>
        <v>399265</v>
      </c>
      <c r="CC196" s="1">
        <f t="shared" si="88"/>
        <v>269499</v>
      </c>
      <c r="CD196" s="1">
        <f t="shared" si="88"/>
        <v>310440</v>
      </c>
      <c r="CE196" s="1">
        <f t="shared" si="88"/>
        <v>72024</v>
      </c>
      <c r="CF196" s="1">
        <f t="shared" si="88"/>
        <v>374917</v>
      </c>
      <c r="CG196" s="1">
        <f t="shared" si="88"/>
        <v>294839</v>
      </c>
      <c r="CH196" s="1">
        <f t="shared" si="88"/>
        <v>1631716</v>
      </c>
      <c r="CI196" s="1">
        <f t="shared" si="88"/>
        <v>472408</v>
      </c>
      <c r="CJ196" s="1">
        <f t="shared" si="88"/>
        <v>407502</v>
      </c>
      <c r="CK196" s="1">
        <f t="shared" si="88"/>
        <v>1075445</v>
      </c>
      <c r="CL196" s="1">
        <f t="shared" ref="CL196:DF196" si="89">CL194-CL195</f>
        <v>547225</v>
      </c>
      <c r="CM196" s="1">
        <f t="shared" si="89"/>
        <v>626936</v>
      </c>
      <c r="CN196" s="1">
        <f t="shared" si="89"/>
        <v>416351</v>
      </c>
      <c r="CO196" s="1">
        <f t="shared" si="89"/>
        <v>434825</v>
      </c>
      <c r="CP196" s="1">
        <f t="shared" si="89"/>
        <v>363801</v>
      </c>
      <c r="CQ196" s="1">
        <f t="shared" si="89"/>
        <v>471603</v>
      </c>
      <c r="CR196" s="1">
        <f t="shared" si="89"/>
        <v>1455469</v>
      </c>
      <c r="CS196" s="1">
        <f t="shared" si="89"/>
        <v>1411474</v>
      </c>
      <c r="CT196" s="1">
        <f t="shared" si="89"/>
        <v>1430877</v>
      </c>
      <c r="CU196" s="1">
        <f t="shared" si="89"/>
        <v>616848</v>
      </c>
      <c r="CV196" s="1">
        <f t="shared" si="89"/>
        <v>1240187</v>
      </c>
      <c r="CW196" s="1">
        <f t="shared" si="89"/>
        <v>253584</v>
      </c>
      <c r="CX196" s="1">
        <f t="shared" si="89"/>
        <v>626053</v>
      </c>
      <c r="CY196" s="1">
        <f t="shared" si="89"/>
        <v>587298</v>
      </c>
      <c r="CZ196" s="1">
        <f t="shared" si="89"/>
        <v>416436</v>
      </c>
      <c r="DA196" s="1">
        <f t="shared" si="89"/>
        <v>150556</v>
      </c>
      <c r="DB196" s="1">
        <f t="shared" si="89"/>
        <v>439927</v>
      </c>
      <c r="DC196" s="1">
        <f t="shared" si="89"/>
        <v>0</v>
      </c>
      <c r="DD196" s="1">
        <f t="shared" si="89"/>
        <v>0</v>
      </c>
      <c r="DE196" s="1">
        <f t="shared" si="89"/>
        <v>0</v>
      </c>
      <c r="DF196" s="1">
        <f t="shared" si="89"/>
        <v>0</v>
      </c>
      <c r="DH196" s="6">
        <f t="shared" si="87"/>
        <v>50860475</v>
      </c>
    </row>
    <row r="197" spans="1:112" x14ac:dyDescent="0.2">
      <c r="A197" s="5" t="s">
        <v>27</v>
      </c>
      <c r="B197" s="5" t="s">
        <v>6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>
        <v>44759</v>
      </c>
      <c r="AA197" s="1">
        <v>1643793</v>
      </c>
      <c r="AB197" s="1">
        <v>1359395</v>
      </c>
      <c r="AC197" s="1">
        <v>818605</v>
      </c>
      <c r="AD197" s="1">
        <v>262393</v>
      </c>
      <c r="AE197" s="1">
        <v>424947</v>
      </c>
      <c r="AF197" s="1">
        <v>691103</v>
      </c>
      <c r="AG197" s="1">
        <v>1268688</v>
      </c>
      <c r="AH197" s="1">
        <v>1366338</v>
      </c>
      <c r="AI197" s="1">
        <v>2290364</v>
      </c>
      <c r="AJ197" s="1">
        <v>4203875</v>
      </c>
      <c r="AK197" s="1">
        <v>4770459</v>
      </c>
      <c r="AL197" s="1">
        <v>4537653</v>
      </c>
      <c r="AM197" s="1">
        <v>4197029</v>
      </c>
      <c r="AN197" s="1">
        <v>1787930</v>
      </c>
      <c r="AO197" s="1">
        <v>4254732</v>
      </c>
      <c r="AP197" s="1">
        <v>3302340</v>
      </c>
      <c r="AQ197" s="1">
        <v>3115230</v>
      </c>
      <c r="AR197" s="1">
        <v>3869773</v>
      </c>
      <c r="AS197" s="1">
        <v>3062545</v>
      </c>
      <c r="AT197" s="1">
        <v>1594235</v>
      </c>
      <c r="AU197" s="1">
        <v>4420924</v>
      </c>
      <c r="AV197" s="1">
        <v>5409196</v>
      </c>
      <c r="AW197" s="1">
        <v>6172580</v>
      </c>
      <c r="AX197" s="1">
        <v>2641046</v>
      </c>
      <c r="AY197" s="1">
        <v>8029427</v>
      </c>
      <c r="AZ197" s="1">
        <v>1019098</v>
      </c>
      <c r="BA197" s="1">
        <v>5283248</v>
      </c>
      <c r="BB197" s="1">
        <v>3436446</v>
      </c>
      <c r="BC197" s="1">
        <v>5720931</v>
      </c>
      <c r="BD197" s="1">
        <v>4819197</v>
      </c>
      <c r="BE197" s="1">
        <v>4476145</v>
      </c>
      <c r="BF197" s="1">
        <v>4199240</v>
      </c>
      <c r="BG197" s="1">
        <v>7358206</v>
      </c>
      <c r="BH197" s="1">
        <v>9078684</v>
      </c>
      <c r="BI197" s="1">
        <v>4963601</v>
      </c>
      <c r="BJ197" s="1">
        <v>8330161</v>
      </c>
      <c r="BK197" s="1">
        <v>12564448</v>
      </c>
      <c r="BL197" s="1">
        <v>7112918</v>
      </c>
      <c r="BM197" s="1">
        <v>4828031</v>
      </c>
      <c r="BN197" s="1">
        <v>6670481</v>
      </c>
      <c r="BO197" s="1">
        <v>7042469</v>
      </c>
      <c r="BP197" s="1">
        <v>4372429</v>
      </c>
      <c r="BQ197" s="1">
        <v>3511866</v>
      </c>
      <c r="BR197" s="1">
        <v>3344211</v>
      </c>
      <c r="BS197" s="1">
        <v>6178362</v>
      </c>
      <c r="BT197" s="1">
        <v>8781951</v>
      </c>
      <c r="BU197" s="1">
        <v>8228924</v>
      </c>
      <c r="BV197" s="1">
        <v>7652564</v>
      </c>
      <c r="BW197" s="1">
        <v>9820633</v>
      </c>
      <c r="BX197" s="1">
        <v>6585297</v>
      </c>
      <c r="BY197" s="1">
        <v>5585067</v>
      </c>
      <c r="BZ197" s="1">
        <v>5331763</v>
      </c>
      <c r="CA197" s="1">
        <v>6516847</v>
      </c>
      <c r="CB197" s="1">
        <v>5277087</v>
      </c>
      <c r="CC197" s="1">
        <v>3530238</v>
      </c>
      <c r="CD197" s="1">
        <v>3382540</v>
      </c>
      <c r="CE197" s="1">
        <v>9259141</v>
      </c>
      <c r="CF197" s="1">
        <v>5867086</v>
      </c>
      <c r="CG197" s="1">
        <v>10477103</v>
      </c>
      <c r="CH197" s="1">
        <v>7435524</v>
      </c>
      <c r="CI197" s="1">
        <v>11139731</v>
      </c>
      <c r="CJ197" s="1">
        <v>8000193</v>
      </c>
      <c r="CK197" s="1">
        <v>6792080</v>
      </c>
      <c r="CL197" s="1">
        <v>7652632</v>
      </c>
      <c r="CM197" s="1">
        <v>8064113</v>
      </c>
      <c r="CN197" s="1">
        <v>6890532</v>
      </c>
      <c r="CO197" s="1">
        <v>5315372</v>
      </c>
      <c r="CP197" s="1">
        <v>6466670</v>
      </c>
      <c r="CQ197" s="1">
        <v>7225752</v>
      </c>
      <c r="CR197" s="1">
        <v>10218462</v>
      </c>
      <c r="CS197" s="1">
        <v>13927774</v>
      </c>
      <c r="CT197" s="1">
        <v>11943711</v>
      </c>
      <c r="CU197" s="1">
        <v>10632753</v>
      </c>
      <c r="CV197" s="1">
        <v>10475954</v>
      </c>
      <c r="CW197" s="1">
        <v>7738559</v>
      </c>
      <c r="CX197" s="1">
        <v>9281817</v>
      </c>
      <c r="CY197" s="1">
        <v>7986249</v>
      </c>
      <c r="CZ197" s="1">
        <v>6962309</v>
      </c>
      <c r="DA197" s="1">
        <v>7464026</v>
      </c>
      <c r="DB197" s="1">
        <v>6445829</v>
      </c>
      <c r="DC197" s="1">
        <v>0</v>
      </c>
      <c r="DD197" s="1">
        <v>0</v>
      </c>
      <c r="DE197" s="1">
        <v>0</v>
      </c>
      <c r="DF197" s="1">
        <v>0</v>
      </c>
      <c r="DH197" s="6">
        <f t="shared" si="87"/>
        <v>464205814</v>
      </c>
    </row>
    <row r="198" spans="1:112" x14ac:dyDescent="0.2">
      <c r="A198" s="5" t="s">
        <v>27</v>
      </c>
      <c r="B198" s="5" t="s">
        <v>7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>
        <v>19403</v>
      </c>
      <c r="AA198" s="1">
        <v>719909</v>
      </c>
      <c r="AB198" s="1">
        <v>598884</v>
      </c>
      <c r="AC198" s="1">
        <v>393834</v>
      </c>
      <c r="AD198" s="1">
        <v>126090</v>
      </c>
      <c r="AE198" s="1">
        <v>187743</v>
      </c>
      <c r="AF198" s="1">
        <v>319833</v>
      </c>
      <c r="AG198" s="1">
        <v>602156</v>
      </c>
      <c r="AH198" s="1">
        <v>607909</v>
      </c>
      <c r="AI198" s="1">
        <v>990884</v>
      </c>
      <c r="AJ198" s="1">
        <v>2001597</v>
      </c>
      <c r="AK198" s="1">
        <v>2323843</v>
      </c>
      <c r="AL198" s="1">
        <v>2137406</v>
      </c>
      <c r="AM198" s="1">
        <v>1886506</v>
      </c>
      <c r="AN198" s="1">
        <v>769387</v>
      </c>
      <c r="AO198" s="1">
        <v>1925260</v>
      </c>
      <c r="AP198" s="1">
        <v>1480847</v>
      </c>
      <c r="AQ198" s="1">
        <v>1433622</v>
      </c>
      <c r="AR198" s="1">
        <v>1797118</v>
      </c>
      <c r="AS198" s="1">
        <v>1468578</v>
      </c>
      <c r="AT198" s="1">
        <v>723016</v>
      </c>
      <c r="AU198" s="1">
        <v>1887441</v>
      </c>
      <c r="AV198" s="1">
        <v>2560651</v>
      </c>
      <c r="AW198" s="1">
        <v>2926238</v>
      </c>
      <c r="AX198" s="1">
        <v>1140937</v>
      </c>
      <c r="AY198" s="1">
        <v>3875782</v>
      </c>
      <c r="AZ198" s="1">
        <v>458353</v>
      </c>
      <c r="BA198" s="1">
        <v>2506863</v>
      </c>
      <c r="BB198" s="1">
        <v>1514431</v>
      </c>
      <c r="BC198" s="1">
        <v>2637599</v>
      </c>
      <c r="BD198" s="1">
        <v>2216742</v>
      </c>
      <c r="BE198" s="1">
        <v>2115043</v>
      </c>
      <c r="BF198" s="1">
        <v>1927109</v>
      </c>
      <c r="BG198" s="1">
        <v>3249389</v>
      </c>
      <c r="BH198" s="1">
        <v>4482595</v>
      </c>
      <c r="BI198" s="1">
        <v>2176120</v>
      </c>
      <c r="BJ198" s="1">
        <v>3809372</v>
      </c>
      <c r="BK198" s="1">
        <v>5715688</v>
      </c>
      <c r="BL198" s="1">
        <v>3238963</v>
      </c>
      <c r="BM198" s="1">
        <v>2126879</v>
      </c>
      <c r="BN198" s="1">
        <v>2997574</v>
      </c>
      <c r="BO198" s="1">
        <v>3078160</v>
      </c>
      <c r="BP198" s="1">
        <v>1944484</v>
      </c>
      <c r="BQ198" s="1">
        <v>1551250</v>
      </c>
      <c r="BR198" s="1">
        <v>1454175</v>
      </c>
      <c r="BS198" s="1">
        <v>2687999</v>
      </c>
      <c r="BT198" s="1">
        <v>3806755</v>
      </c>
      <c r="BU198" s="1">
        <v>3593339</v>
      </c>
      <c r="BV198" s="1">
        <v>3377024</v>
      </c>
      <c r="BW198" s="1">
        <v>4452042</v>
      </c>
      <c r="BX198" s="1">
        <v>2864800</v>
      </c>
      <c r="BY198" s="1">
        <v>2431041</v>
      </c>
      <c r="BZ198" s="1">
        <v>2306465</v>
      </c>
      <c r="CA198" s="1">
        <v>2835815</v>
      </c>
      <c r="CB198" s="1">
        <v>2294205</v>
      </c>
      <c r="CC198" s="1">
        <v>1533618</v>
      </c>
      <c r="CD198" s="1">
        <v>1705782</v>
      </c>
      <c r="CE198" s="1">
        <v>3998068</v>
      </c>
      <c r="CF198" s="1">
        <v>2550018</v>
      </c>
      <c r="CG198" s="1">
        <v>4633499</v>
      </c>
      <c r="CH198" s="1">
        <v>3250223</v>
      </c>
      <c r="CI198" s="1">
        <v>4944910</v>
      </c>
      <c r="CJ198" s="1">
        <v>3487741</v>
      </c>
      <c r="CK198" s="1">
        <v>2962111</v>
      </c>
      <c r="CL198" s="1">
        <v>3326445</v>
      </c>
      <c r="CM198" s="1">
        <v>3596561</v>
      </c>
      <c r="CN198" s="1">
        <v>2929436</v>
      </c>
      <c r="CO198" s="1">
        <v>2311388</v>
      </c>
      <c r="CP198" s="1">
        <v>2809305</v>
      </c>
      <c r="CQ198" s="1">
        <v>3140145</v>
      </c>
      <c r="CR198" s="1">
        <v>4058214</v>
      </c>
      <c r="CS198" s="1">
        <v>6199843</v>
      </c>
      <c r="CT198" s="1">
        <v>5236704</v>
      </c>
      <c r="CU198" s="1">
        <v>4619042</v>
      </c>
      <c r="CV198" s="1">
        <v>4604551</v>
      </c>
      <c r="CW198" s="1">
        <v>3320812</v>
      </c>
      <c r="CX198" s="1">
        <v>3940090</v>
      </c>
      <c r="CY198" s="1">
        <v>3383634</v>
      </c>
      <c r="CZ198" s="1">
        <v>2962567</v>
      </c>
      <c r="DA198" s="1">
        <v>3215556</v>
      </c>
      <c r="DB198" s="1">
        <v>2735537</v>
      </c>
      <c r="DC198" s="1">
        <v>0</v>
      </c>
      <c r="DD198" s="1">
        <v>0</v>
      </c>
      <c r="DE198" s="1">
        <v>0</v>
      </c>
      <c r="DF198" s="1">
        <v>0</v>
      </c>
      <c r="DH198" s="6">
        <f t="shared" si="87"/>
        <v>206210948</v>
      </c>
    </row>
    <row r="199" spans="1:112" x14ac:dyDescent="0.2">
      <c r="A199" s="5" t="str">
        <f>A198</f>
        <v>NH</v>
      </c>
      <c r="B199" s="5" t="s">
        <v>41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H199" s="6">
        <f t="shared" si="87"/>
        <v>0</v>
      </c>
    </row>
    <row r="200" spans="1:112" x14ac:dyDescent="0.2">
      <c r="A200" s="5" t="s">
        <v>28</v>
      </c>
      <c r="B200" s="5" t="s">
        <v>4</v>
      </c>
      <c r="C200" s="1"/>
      <c r="D200" s="1"/>
      <c r="E200" s="1"/>
      <c r="F200" s="1"/>
      <c r="G200" s="1"/>
      <c r="H200" s="1">
        <v>16409619</v>
      </c>
      <c r="I200" s="1">
        <v>40682237</v>
      </c>
      <c r="J200" s="1">
        <v>95634048</v>
      </c>
      <c r="K200" s="1">
        <v>183948404</v>
      </c>
      <c r="L200" s="1">
        <v>260711301</v>
      </c>
      <c r="M200" s="1">
        <v>330748563</v>
      </c>
      <c r="N200" s="1">
        <v>319173548</v>
      </c>
      <c r="O200" s="1">
        <v>385240399</v>
      </c>
      <c r="P200" s="1">
        <v>320368087</v>
      </c>
      <c r="Q200" s="1">
        <v>372451342</v>
      </c>
      <c r="R200" s="1">
        <v>313719562</v>
      </c>
      <c r="S200" s="1">
        <v>318940677</v>
      </c>
      <c r="T200" s="1">
        <v>273222975</v>
      </c>
      <c r="U200" s="1">
        <v>251371272</v>
      </c>
      <c r="V200" s="1">
        <v>293594862</v>
      </c>
      <c r="W200" s="1">
        <v>445563503</v>
      </c>
      <c r="X200" s="1">
        <v>487924504</v>
      </c>
      <c r="Y200" s="1">
        <v>562675543</v>
      </c>
      <c r="Z200" s="1">
        <v>557786161</v>
      </c>
      <c r="AA200" s="1">
        <v>540113452</v>
      </c>
      <c r="AB200" s="1">
        <v>494813807</v>
      </c>
      <c r="AC200" s="1">
        <v>181908529</v>
      </c>
      <c r="AD200" s="1">
        <v>54593092</v>
      </c>
      <c r="AE200" s="1">
        <v>117818270</v>
      </c>
      <c r="AF200" s="1">
        <v>165014553</v>
      </c>
      <c r="AG200" s="1">
        <v>315118805</v>
      </c>
      <c r="AH200" s="1">
        <v>667979150</v>
      </c>
      <c r="AI200" s="1">
        <v>748606793</v>
      </c>
      <c r="AJ200" s="1">
        <v>803392068</v>
      </c>
      <c r="AK200" s="1">
        <v>931620415</v>
      </c>
      <c r="AL200" s="1">
        <v>996300794</v>
      </c>
      <c r="AM200" s="1">
        <v>958717526</v>
      </c>
      <c r="AN200" s="1">
        <v>742953328</v>
      </c>
      <c r="AO200" s="1">
        <v>859617961</v>
      </c>
      <c r="AP200" s="1">
        <v>747986522</v>
      </c>
      <c r="AQ200" s="1">
        <v>814270654</v>
      </c>
      <c r="AR200" s="1">
        <v>766888420</v>
      </c>
      <c r="AS200" s="1">
        <v>578729290</v>
      </c>
      <c r="AT200" s="1">
        <v>664675859</v>
      </c>
      <c r="AU200" s="1">
        <v>1011252367</v>
      </c>
      <c r="AV200" s="1">
        <v>1303198342</v>
      </c>
      <c r="AW200" s="1">
        <v>1258189436</v>
      </c>
      <c r="AX200" s="1">
        <v>1229561891</v>
      </c>
      <c r="AY200" s="1">
        <v>1348860083</v>
      </c>
      <c r="AZ200" s="1">
        <v>985568313</v>
      </c>
      <c r="BA200" s="1">
        <v>1120904954</v>
      </c>
      <c r="BB200" s="1">
        <v>926946780</v>
      </c>
      <c r="BC200" s="1">
        <v>766412352</v>
      </c>
      <c r="BD200" s="1">
        <v>633184861</v>
      </c>
      <c r="BE200" s="1">
        <v>531888333</v>
      </c>
      <c r="BF200" s="1">
        <v>546774394</v>
      </c>
      <c r="BG200" s="1">
        <v>866719412</v>
      </c>
      <c r="BH200" s="1">
        <v>1060154535</v>
      </c>
      <c r="BI200" s="1">
        <v>1101622966</v>
      </c>
      <c r="BJ200" s="1">
        <v>1055556994</v>
      </c>
      <c r="BK200" s="1">
        <v>1082233033</v>
      </c>
      <c r="BL200" s="1">
        <v>847405611</v>
      </c>
      <c r="BM200" s="1">
        <v>1025779225</v>
      </c>
      <c r="BN200" s="1">
        <v>833980925</v>
      </c>
      <c r="BO200" s="1">
        <v>778854263</v>
      </c>
      <c r="BP200" s="1">
        <v>591081897</v>
      </c>
      <c r="BQ200" s="1">
        <v>587019749</v>
      </c>
      <c r="BR200" s="1">
        <v>725849450</v>
      </c>
      <c r="BS200" s="1">
        <v>1299016274</v>
      </c>
      <c r="BT200" s="1">
        <v>1293468722</v>
      </c>
      <c r="BU200" s="1">
        <v>1623072184</v>
      </c>
      <c r="BV200" s="1">
        <v>1284560140</v>
      </c>
      <c r="BW200" s="1">
        <v>1719170088</v>
      </c>
      <c r="BX200" s="1">
        <v>1081171835</v>
      </c>
      <c r="BY200" s="1">
        <v>1329010828</v>
      </c>
      <c r="BZ200" s="1">
        <v>1044283588</v>
      </c>
      <c r="CA200" s="1">
        <v>838946057</v>
      </c>
      <c r="CB200" s="1">
        <v>748417965</v>
      </c>
      <c r="CC200" s="1">
        <v>652275524</v>
      </c>
      <c r="CD200" s="1">
        <v>698839707</v>
      </c>
      <c r="CE200" s="1">
        <v>1089701413</v>
      </c>
      <c r="CF200" s="1">
        <v>1131684366</v>
      </c>
      <c r="CG200" s="1">
        <v>1224883112</v>
      </c>
      <c r="CH200" s="1">
        <v>1215654736</v>
      </c>
      <c r="CI200" s="1">
        <v>1152144676</v>
      </c>
      <c r="CJ200" s="1">
        <v>988882908</v>
      </c>
      <c r="CK200" s="1">
        <v>1107191055</v>
      </c>
      <c r="CL200" s="1">
        <v>994434816</v>
      </c>
      <c r="CM200" s="1">
        <v>1010645865</v>
      </c>
      <c r="CN200" s="1">
        <v>790415313</v>
      </c>
      <c r="CO200" s="1">
        <v>663997770</v>
      </c>
      <c r="CP200" s="1">
        <v>814312217</v>
      </c>
      <c r="CQ200" s="1">
        <v>1130008177</v>
      </c>
      <c r="CR200" s="1">
        <v>1237235655</v>
      </c>
      <c r="CS200" s="1">
        <v>1281522822</v>
      </c>
      <c r="CT200" s="1">
        <v>1064197854</v>
      </c>
      <c r="CU200" s="1">
        <v>1034434347</v>
      </c>
      <c r="CV200" s="1">
        <v>846392452</v>
      </c>
      <c r="CW200" s="1">
        <v>1012329979</v>
      </c>
      <c r="CX200" s="1">
        <v>934165352</v>
      </c>
      <c r="CY200" s="1">
        <v>912899287</v>
      </c>
      <c r="CZ200" s="1">
        <v>917157048</v>
      </c>
      <c r="DA200" s="1">
        <v>816851302</v>
      </c>
      <c r="DB200" s="1">
        <v>732372118</v>
      </c>
      <c r="DC200" s="1">
        <v>1086037397</v>
      </c>
      <c r="DD200" s="1">
        <v>0</v>
      </c>
      <c r="DE200" s="1">
        <v>0</v>
      </c>
      <c r="DF200" s="1">
        <v>0</v>
      </c>
      <c r="DH200" s="6">
        <f t="shared" si="87"/>
        <v>79002071010</v>
      </c>
    </row>
    <row r="201" spans="1:112" x14ac:dyDescent="0.2">
      <c r="A201" s="5" t="s">
        <v>28</v>
      </c>
      <c r="B201" s="5" t="s">
        <v>42</v>
      </c>
      <c r="C201" s="1"/>
      <c r="D201" s="1"/>
      <c r="E201" s="1"/>
      <c r="F201" s="1"/>
      <c r="G201" s="1"/>
      <c r="H201" s="1">
        <v>0</v>
      </c>
      <c r="I201" s="1">
        <v>0</v>
      </c>
      <c r="J201" s="1">
        <v>21714157</v>
      </c>
      <c r="K201" s="1">
        <v>104885673</v>
      </c>
      <c r="L201" s="1">
        <v>174369684</v>
      </c>
      <c r="M201" s="1">
        <v>238615611</v>
      </c>
      <c r="N201" s="1">
        <v>241043289</v>
      </c>
      <c r="O201" s="1">
        <v>304934723</v>
      </c>
      <c r="P201" s="1">
        <v>258871597</v>
      </c>
      <c r="Q201" s="1">
        <v>298282154</v>
      </c>
      <c r="R201" s="1">
        <v>253976244</v>
      </c>
      <c r="S201" s="1">
        <v>263552319</v>
      </c>
      <c r="T201" s="1">
        <v>226702566</v>
      </c>
      <c r="U201" s="1">
        <v>213038739</v>
      </c>
      <c r="V201" s="1">
        <v>249237590</v>
      </c>
      <c r="W201" s="1">
        <v>374246343</v>
      </c>
      <c r="X201" s="1">
        <v>416964519</v>
      </c>
      <c r="Y201" s="1">
        <v>486784645</v>
      </c>
      <c r="Z201" s="1">
        <v>488931379</v>
      </c>
      <c r="AA201" s="1">
        <v>471149117</v>
      </c>
      <c r="AB201" s="1">
        <v>436492186</v>
      </c>
      <c r="AC201" s="1">
        <v>163449027</v>
      </c>
      <c r="AD201" s="1">
        <v>54593092</v>
      </c>
      <c r="AE201" s="1">
        <v>117821281</v>
      </c>
      <c r="AF201" s="1">
        <v>165014553</v>
      </c>
      <c r="AG201" s="1">
        <v>295804327</v>
      </c>
      <c r="AH201" s="1">
        <v>601942486</v>
      </c>
      <c r="AI201" s="1">
        <v>678763818</v>
      </c>
      <c r="AJ201" s="1">
        <v>744194945</v>
      </c>
      <c r="AK201" s="1">
        <v>872076040</v>
      </c>
      <c r="AL201" s="1">
        <v>929331841</v>
      </c>
      <c r="AM201" s="1">
        <v>886656470</v>
      </c>
      <c r="AN201" s="1">
        <v>689249156</v>
      </c>
      <c r="AO201" s="1">
        <v>780145392</v>
      </c>
      <c r="AP201" s="1">
        <v>681177434</v>
      </c>
      <c r="AQ201" s="1">
        <v>734654926</v>
      </c>
      <c r="AR201" s="1">
        <v>683020655</v>
      </c>
      <c r="AS201" s="1">
        <v>529433846</v>
      </c>
      <c r="AT201" s="1">
        <v>612866525</v>
      </c>
      <c r="AU201" s="1">
        <v>918443445</v>
      </c>
      <c r="AV201" s="1">
        <v>1179042368</v>
      </c>
      <c r="AW201" s="1">
        <v>1144161355</v>
      </c>
      <c r="AX201" s="1">
        <v>1110291461</v>
      </c>
      <c r="AY201" s="1">
        <v>1209701318</v>
      </c>
      <c r="AZ201" s="1">
        <v>899631531</v>
      </c>
      <c r="BA201" s="1">
        <v>1041402933</v>
      </c>
      <c r="BB201" s="1">
        <v>863143698</v>
      </c>
      <c r="BC201" s="1">
        <v>708369964</v>
      </c>
      <c r="BD201" s="1">
        <v>588892237</v>
      </c>
      <c r="BE201" s="1">
        <v>494894716</v>
      </c>
      <c r="BF201" s="1">
        <v>509178612</v>
      </c>
      <c r="BG201" s="1">
        <v>807776106</v>
      </c>
      <c r="BH201" s="1">
        <v>987604278</v>
      </c>
      <c r="BI201" s="1">
        <v>1032597867</v>
      </c>
      <c r="BJ201" s="1">
        <v>998393281</v>
      </c>
      <c r="BK201" s="1">
        <v>1016375435</v>
      </c>
      <c r="BL201" s="1">
        <v>801400126</v>
      </c>
      <c r="BM201" s="1">
        <v>975179869</v>
      </c>
      <c r="BN201" s="1">
        <v>798491542</v>
      </c>
      <c r="BO201" s="1">
        <v>741056270</v>
      </c>
      <c r="BP201" s="1">
        <v>558624130</v>
      </c>
      <c r="BQ201" s="1">
        <v>561643121</v>
      </c>
      <c r="BR201" s="1">
        <v>697069628</v>
      </c>
      <c r="BS201" s="1">
        <v>1255482930</v>
      </c>
      <c r="BT201" s="1">
        <v>1237169067</v>
      </c>
      <c r="BU201" s="1">
        <v>1567779583</v>
      </c>
      <c r="BV201" s="1">
        <v>1234081985</v>
      </c>
      <c r="BW201" s="1">
        <v>1671566914</v>
      </c>
      <c r="BX201" s="1">
        <v>1043234576</v>
      </c>
      <c r="BY201" s="1">
        <v>1285251244</v>
      </c>
      <c r="BZ201" s="1">
        <v>1009565037</v>
      </c>
      <c r="CA201" s="1">
        <v>801473576</v>
      </c>
      <c r="CB201" s="1">
        <v>718951632</v>
      </c>
      <c r="CC201" s="1">
        <v>624272786</v>
      </c>
      <c r="CD201" s="1">
        <v>666309360</v>
      </c>
      <c r="CE201" s="1">
        <v>1031241396</v>
      </c>
      <c r="CF201" s="1">
        <v>1087890557</v>
      </c>
      <c r="CG201" s="1">
        <v>1171778677</v>
      </c>
      <c r="CH201" s="1">
        <v>1163284623</v>
      </c>
      <c r="CI201" s="1">
        <v>1106152571</v>
      </c>
      <c r="CJ201" s="1">
        <v>949582276</v>
      </c>
      <c r="CK201" s="1">
        <v>1062817687</v>
      </c>
      <c r="CL201" s="1">
        <v>954053098</v>
      </c>
      <c r="CM201" s="1">
        <v>967147293</v>
      </c>
      <c r="CN201" s="1">
        <v>755046187</v>
      </c>
      <c r="CO201" s="1">
        <v>630920498</v>
      </c>
      <c r="CP201" s="1">
        <v>778776377</v>
      </c>
      <c r="CQ201" s="1">
        <v>1069913122</v>
      </c>
      <c r="CR201" s="1">
        <v>1193464864</v>
      </c>
      <c r="CS201" s="1">
        <v>1220982229</v>
      </c>
      <c r="CT201" s="1">
        <v>1030633734</v>
      </c>
      <c r="CU201" s="1">
        <v>999222617</v>
      </c>
      <c r="CV201" s="1">
        <v>821314923</v>
      </c>
      <c r="CW201" s="1">
        <v>979966265</v>
      </c>
      <c r="CX201" s="1">
        <v>905433865</v>
      </c>
      <c r="CY201" s="1">
        <v>883342814</v>
      </c>
      <c r="CZ201" s="1">
        <v>891865781</v>
      </c>
      <c r="DA201" s="1">
        <v>794326038.28073823</v>
      </c>
      <c r="DB201" s="1">
        <v>712176428.70111179</v>
      </c>
      <c r="DC201" s="1">
        <v>1056089132.5894407</v>
      </c>
      <c r="DD201" s="1">
        <v>0</v>
      </c>
      <c r="DE201" s="1">
        <v>0</v>
      </c>
      <c r="DF201" s="1">
        <v>0</v>
      </c>
      <c r="DH201" s="6">
        <f t="shared" si="87"/>
        <v>73719915383.571289</v>
      </c>
    </row>
    <row r="202" spans="1:112" x14ac:dyDescent="0.2">
      <c r="A202" s="5" t="s">
        <v>28</v>
      </c>
      <c r="B202" s="5" t="s">
        <v>43</v>
      </c>
      <c r="C202" s="1"/>
      <c r="D202" s="1"/>
      <c r="E202" s="1"/>
      <c r="F202" s="1"/>
      <c r="G202" s="1"/>
      <c r="H202" s="1">
        <f t="shared" ref="H202:BS202" si="90">H200-H201</f>
        <v>16409619</v>
      </c>
      <c r="I202" s="1">
        <f t="shared" si="90"/>
        <v>40682237</v>
      </c>
      <c r="J202" s="1">
        <f t="shared" si="90"/>
        <v>73919891</v>
      </c>
      <c r="K202" s="1">
        <f t="shared" si="90"/>
        <v>79062731</v>
      </c>
      <c r="L202" s="1">
        <f t="shared" si="90"/>
        <v>86341617</v>
      </c>
      <c r="M202" s="1">
        <f t="shared" si="90"/>
        <v>92132952</v>
      </c>
      <c r="N202" s="1">
        <f t="shared" si="90"/>
        <v>78130259</v>
      </c>
      <c r="O202" s="1">
        <f t="shared" si="90"/>
        <v>80305676</v>
      </c>
      <c r="P202" s="1">
        <f t="shared" si="90"/>
        <v>61496490</v>
      </c>
      <c r="Q202" s="1">
        <f t="shared" si="90"/>
        <v>74169188</v>
      </c>
      <c r="R202" s="1">
        <f t="shared" si="90"/>
        <v>59743318</v>
      </c>
      <c r="S202" s="1">
        <f t="shared" si="90"/>
        <v>55388358</v>
      </c>
      <c r="T202" s="1">
        <f t="shared" si="90"/>
        <v>46520409</v>
      </c>
      <c r="U202" s="1">
        <f t="shared" si="90"/>
        <v>38332533</v>
      </c>
      <c r="V202" s="1">
        <f t="shared" si="90"/>
        <v>44357272</v>
      </c>
      <c r="W202" s="1">
        <f t="shared" si="90"/>
        <v>71317160</v>
      </c>
      <c r="X202" s="1">
        <f t="shared" si="90"/>
        <v>70959985</v>
      </c>
      <c r="Y202" s="1">
        <f t="shared" si="90"/>
        <v>75890898</v>
      </c>
      <c r="Z202" s="1">
        <f t="shared" si="90"/>
        <v>68854782</v>
      </c>
      <c r="AA202" s="1">
        <f t="shared" si="90"/>
        <v>68964335</v>
      </c>
      <c r="AB202" s="1">
        <f t="shared" si="90"/>
        <v>58321621</v>
      </c>
      <c r="AC202" s="1">
        <f t="shared" si="90"/>
        <v>18459502</v>
      </c>
      <c r="AD202" s="1">
        <f t="shared" si="90"/>
        <v>0</v>
      </c>
      <c r="AE202" s="1">
        <f t="shared" si="90"/>
        <v>-3011</v>
      </c>
      <c r="AF202" s="1">
        <f t="shared" si="90"/>
        <v>0</v>
      </c>
      <c r="AG202" s="1">
        <f t="shared" si="90"/>
        <v>19314478</v>
      </c>
      <c r="AH202" s="1">
        <f t="shared" si="90"/>
        <v>66036664</v>
      </c>
      <c r="AI202" s="1">
        <f t="shared" si="90"/>
        <v>69842975</v>
      </c>
      <c r="AJ202" s="1">
        <f t="shared" si="90"/>
        <v>59197123</v>
      </c>
      <c r="AK202" s="1">
        <f t="shared" si="90"/>
        <v>59544375</v>
      </c>
      <c r="AL202" s="1">
        <f t="shared" si="90"/>
        <v>66968953</v>
      </c>
      <c r="AM202" s="1">
        <f t="shared" si="90"/>
        <v>72061056</v>
      </c>
      <c r="AN202" s="1">
        <f t="shared" si="90"/>
        <v>53704172</v>
      </c>
      <c r="AO202" s="1">
        <f t="shared" si="90"/>
        <v>79472569</v>
      </c>
      <c r="AP202" s="1">
        <f t="shared" si="90"/>
        <v>66809088</v>
      </c>
      <c r="AQ202" s="1">
        <f t="shared" si="90"/>
        <v>79615728</v>
      </c>
      <c r="AR202" s="1">
        <f t="shared" si="90"/>
        <v>83867765</v>
      </c>
      <c r="AS202" s="1">
        <f t="shared" si="90"/>
        <v>49295444</v>
      </c>
      <c r="AT202" s="1">
        <f t="shared" si="90"/>
        <v>51809334</v>
      </c>
      <c r="AU202" s="1">
        <f t="shared" si="90"/>
        <v>92808922</v>
      </c>
      <c r="AV202" s="1">
        <f t="shared" si="90"/>
        <v>124155974</v>
      </c>
      <c r="AW202" s="1">
        <f t="shared" si="90"/>
        <v>114028081</v>
      </c>
      <c r="AX202" s="1">
        <f t="shared" si="90"/>
        <v>119270430</v>
      </c>
      <c r="AY202" s="1">
        <f t="shared" si="90"/>
        <v>139158765</v>
      </c>
      <c r="AZ202" s="1">
        <f t="shared" si="90"/>
        <v>85936782</v>
      </c>
      <c r="BA202" s="1">
        <f t="shared" si="90"/>
        <v>79502021</v>
      </c>
      <c r="BB202" s="1">
        <f t="shared" si="90"/>
        <v>63803082</v>
      </c>
      <c r="BC202" s="1">
        <f t="shared" si="90"/>
        <v>58042388</v>
      </c>
      <c r="BD202" s="1">
        <f t="shared" si="90"/>
        <v>44292624</v>
      </c>
      <c r="BE202" s="1">
        <f t="shared" si="90"/>
        <v>36993617</v>
      </c>
      <c r="BF202" s="1">
        <f t="shared" si="90"/>
        <v>37595782</v>
      </c>
      <c r="BG202" s="1">
        <f t="shared" si="90"/>
        <v>58943306</v>
      </c>
      <c r="BH202" s="1">
        <f t="shared" si="90"/>
        <v>72550257</v>
      </c>
      <c r="BI202" s="1">
        <f t="shared" si="90"/>
        <v>69025099</v>
      </c>
      <c r="BJ202" s="1">
        <f t="shared" si="90"/>
        <v>57163713</v>
      </c>
      <c r="BK202" s="1">
        <f t="shared" si="90"/>
        <v>65857598</v>
      </c>
      <c r="BL202" s="1">
        <f t="shared" si="90"/>
        <v>46005485</v>
      </c>
      <c r="BM202" s="1">
        <f t="shared" si="90"/>
        <v>50599356</v>
      </c>
      <c r="BN202" s="1">
        <f t="shared" si="90"/>
        <v>35489383</v>
      </c>
      <c r="BO202" s="1">
        <f t="shared" si="90"/>
        <v>37797993</v>
      </c>
      <c r="BP202" s="1">
        <f t="shared" si="90"/>
        <v>32457767</v>
      </c>
      <c r="BQ202" s="1">
        <f t="shared" si="90"/>
        <v>25376628</v>
      </c>
      <c r="BR202" s="1">
        <f t="shared" si="90"/>
        <v>28779822</v>
      </c>
      <c r="BS202" s="1">
        <f t="shared" si="90"/>
        <v>43533344</v>
      </c>
      <c r="BT202" s="1">
        <f t="shared" ref="BT202:DF202" si="91">BT200-BT201</f>
        <v>56299655</v>
      </c>
      <c r="BU202" s="1">
        <f t="shared" si="91"/>
        <v>55292601</v>
      </c>
      <c r="BV202" s="1">
        <f t="shared" si="91"/>
        <v>50478155</v>
      </c>
      <c r="BW202" s="1">
        <f t="shared" si="91"/>
        <v>47603174</v>
      </c>
      <c r="BX202" s="1">
        <f t="shared" si="91"/>
        <v>37937259</v>
      </c>
      <c r="BY202" s="1">
        <f t="shared" si="91"/>
        <v>43759584</v>
      </c>
      <c r="BZ202" s="1">
        <f t="shared" si="91"/>
        <v>34718551</v>
      </c>
      <c r="CA202" s="1">
        <f t="shared" si="91"/>
        <v>37472481</v>
      </c>
      <c r="CB202" s="1">
        <f t="shared" si="91"/>
        <v>29466333</v>
      </c>
      <c r="CC202" s="1">
        <f t="shared" si="91"/>
        <v>28002738</v>
      </c>
      <c r="CD202" s="1">
        <f t="shared" si="91"/>
        <v>32530347</v>
      </c>
      <c r="CE202" s="1">
        <f t="shared" si="91"/>
        <v>58460017</v>
      </c>
      <c r="CF202" s="1">
        <f t="shared" si="91"/>
        <v>43793809</v>
      </c>
      <c r="CG202" s="1">
        <f t="shared" si="91"/>
        <v>53104435</v>
      </c>
      <c r="CH202" s="1">
        <f t="shared" si="91"/>
        <v>52370113</v>
      </c>
      <c r="CI202" s="1">
        <f t="shared" si="91"/>
        <v>45992105</v>
      </c>
      <c r="CJ202" s="1">
        <f t="shared" si="91"/>
        <v>39300632</v>
      </c>
      <c r="CK202" s="1">
        <f t="shared" si="91"/>
        <v>44373368</v>
      </c>
      <c r="CL202" s="1">
        <f t="shared" si="91"/>
        <v>40381718</v>
      </c>
      <c r="CM202" s="1">
        <f t="shared" si="91"/>
        <v>43498572</v>
      </c>
      <c r="CN202" s="1">
        <f t="shared" si="91"/>
        <v>35369126</v>
      </c>
      <c r="CO202" s="1">
        <f t="shared" si="91"/>
        <v>33077272</v>
      </c>
      <c r="CP202" s="1">
        <f t="shared" si="91"/>
        <v>35535840</v>
      </c>
      <c r="CQ202" s="1">
        <f t="shared" si="91"/>
        <v>60095055</v>
      </c>
      <c r="CR202" s="1">
        <f t="shared" si="91"/>
        <v>43770791</v>
      </c>
      <c r="CS202" s="1">
        <f t="shared" si="91"/>
        <v>60540593</v>
      </c>
      <c r="CT202" s="1">
        <f t="shared" si="91"/>
        <v>33564120</v>
      </c>
      <c r="CU202" s="1">
        <f t="shared" si="91"/>
        <v>35211730</v>
      </c>
      <c r="CV202" s="1">
        <f t="shared" si="91"/>
        <v>25077529</v>
      </c>
      <c r="CW202" s="1">
        <f t="shared" si="91"/>
        <v>32363714</v>
      </c>
      <c r="CX202" s="1">
        <f t="shared" si="91"/>
        <v>28731487</v>
      </c>
      <c r="CY202" s="1">
        <f t="shared" si="91"/>
        <v>29556473</v>
      </c>
      <c r="CZ202" s="1">
        <f t="shared" si="91"/>
        <v>25291267</v>
      </c>
      <c r="DA202" s="1">
        <f t="shared" si="91"/>
        <v>22525263.719261765</v>
      </c>
      <c r="DB202" s="1">
        <f t="shared" si="91"/>
        <v>20195689.298888206</v>
      </c>
      <c r="DC202" s="1">
        <f t="shared" si="91"/>
        <v>29948264.410559297</v>
      </c>
      <c r="DD202" s="1">
        <f t="shared" si="91"/>
        <v>0</v>
      </c>
      <c r="DE202" s="1">
        <f t="shared" si="91"/>
        <v>0</v>
      </c>
      <c r="DF202" s="1">
        <f t="shared" si="91"/>
        <v>0</v>
      </c>
      <c r="DH202" s="6">
        <f t="shared" si="87"/>
        <v>5282155626.42871</v>
      </c>
    </row>
    <row r="203" spans="1:112" x14ac:dyDescent="0.2">
      <c r="A203" s="5" t="s">
        <v>28</v>
      </c>
      <c r="B203" s="5" t="s">
        <v>5</v>
      </c>
      <c r="C203" s="1"/>
      <c r="D203" s="1"/>
      <c r="E203" s="1"/>
      <c r="F203" s="1"/>
      <c r="G203" s="1"/>
      <c r="H203" s="1">
        <v>3458668</v>
      </c>
      <c r="I203" s="1">
        <v>3831141</v>
      </c>
      <c r="J203" s="1">
        <v>9198272</v>
      </c>
      <c r="K203" s="1">
        <v>23775366</v>
      </c>
      <c r="L203" s="1">
        <v>11686119</v>
      </c>
      <c r="M203" s="1">
        <v>21243865</v>
      </c>
      <c r="N203" s="1">
        <v>20814222</v>
      </c>
      <c r="O203" s="1">
        <v>18777582</v>
      </c>
      <c r="P203" s="1">
        <v>12732740</v>
      </c>
      <c r="Q203" s="1">
        <v>31669387</v>
      </c>
      <c r="R203" s="1">
        <v>21215747</v>
      </c>
      <c r="S203" s="1">
        <v>15536384</v>
      </c>
      <c r="T203" s="1">
        <v>9701925</v>
      </c>
      <c r="U203" s="1">
        <v>17884790</v>
      </c>
      <c r="V203" s="1">
        <v>25210342</v>
      </c>
      <c r="W203" s="1">
        <v>37955171</v>
      </c>
      <c r="X203" s="1">
        <v>46393537</v>
      </c>
      <c r="Y203" s="1">
        <v>32895546</v>
      </c>
      <c r="Z203" s="1">
        <v>29424884</v>
      </c>
      <c r="AA203" s="1">
        <v>53561626</v>
      </c>
      <c r="AB203" s="1">
        <v>17000928</v>
      </c>
      <c r="AC203" s="1">
        <v>13181101</v>
      </c>
      <c r="AD203" s="1">
        <v>2634050</v>
      </c>
      <c r="AE203" s="1">
        <v>9912062</v>
      </c>
      <c r="AF203" s="1">
        <v>12639282</v>
      </c>
      <c r="AG203" s="1">
        <v>29551987</v>
      </c>
      <c r="AH203" s="1">
        <v>39507181</v>
      </c>
      <c r="AI203" s="1">
        <v>45083178</v>
      </c>
      <c r="AJ203" s="1">
        <v>58510489</v>
      </c>
      <c r="AK203" s="1">
        <v>50554535</v>
      </c>
      <c r="AL203" s="1">
        <v>66386516</v>
      </c>
      <c r="AM203" s="1">
        <v>82640979</v>
      </c>
      <c r="AN203" s="1">
        <v>46213864</v>
      </c>
      <c r="AO203" s="1">
        <v>60755472</v>
      </c>
      <c r="AP203" s="1">
        <v>54839217</v>
      </c>
      <c r="AQ203" s="1">
        <v>52895430</v>
      </c>
      <c r="AR203" s="1">
        <v>71267544</v>
      </c>
      <c r="AS203" s="1">
        <v>54966257</v>
      </c>
      <c r="AT203" s="1">
        <v>52023081</v>
      </c>
      <c r="AU203" s="1">
        <v>82440420</v>
      </c>
      <c r="AV203" s="1">
        <v>84152035</v>
      </c>
      <c r="AW203" s="1">
        <v>114788726</v>
      </c>
      <c r="AX203" s="1">
        <v>59047673</v>
      </c>
      <c r="AY203" s="1">
        <v>60195902</v>
      </c>
      <c r="AZ203" s="1">
        <v>30873372</v>
      </c>
      <c r="BA203" s="1">
        <v>66404370</v>
      </c>
      <c r="BB203" s="1">
        <v>50345808</v>
      </c>
      <c r="BC203" s="1">
        <v>61594016</v>
      </c>
      <c r="BD203" s="1">
        <v>39245213</v>
      </c>
      <c r="BE203" s="1">
        <v>45007343</v>
      </c>
      <c r="BF203" s="1">
        <v>65272385</v>
      </c>
      <c r="BG203" s="1">
        <v>97981122</v>
      </c>
      <c r="BH203" s="1">
        <v>77907041</v>
      </c>
      <c r="BI203" s="1">
        <v>80426931</v>
      </c>
      <c r="BJ203" s="1">
        <v>87701471</v>
      </c>
      <c r="BK203" s="1">
        <v>72330439</v>
      </c>
      <c r="BL203" s="1">
        <v>54621220</v>
      </c>
      <c r="BM203" s="1">
        <v>93039999</v>
      </c>
      <c r="BN203" s="1">
        <v>72304036</v>
      </c>
      <c r="BO203" s="1">
        <v>82165404</v>
      </c>
      <c r="BP203" s="1">
        <v>66356838</v>
      </c>
      <c r="BQ203" s="1">
        <v>61013433</v>
      </c>
      <c r="BR203" s="1">
        <v>96041019</v>
      </c>
      <c r="BS203" s="1">
        <v>111145385</v>
      </c>
      <c r="BT203" s="1">
        <v>92258295</v>
      </c>
      <c r="BU203" s="1">
        <v>95886050</v>
      </c>
      <c r="BV203" s="1">
        <v>109426484</v>
      </c>
      <c r="BW203" s="1">
        <v>170758334</v>
      </c>
      <c r="BX203" s="1">
        <v>67564386</v>
      </c>
      <c r="BY203" s="1">
        <v>89687971</v>
      </c>
      <c r="BZ203" s="1">
        <v>106227937</v>
      </c>
      <c r="CA203" s="1">
        <v>78750983</v>
      </c>
      <c r="CB203" s="1">
        <v>60066927</v>
      </c>
      <c r="CC203" s="1">
        <v>80027220</v>
      </c>
      <c r="CD203" s="1">
        <v>62726443</v>
      </c>
      <c r="CE203" s="1">
        <v>119556334</v>
      </c>
      <c r="CF203" s="1">
        <v>77463400</v>
      </c>
      <c r="CG203" s="1">
        <v>118962664</v>
      </c>
      <c r="CH203" s="1">
        <v>62837741</v>
      </c>
      <c r="CI203" s="1">
        <v>122194865</v>
      </c>
      <c r="CJ203" s="1">
        <v>73558519</v>
      </c>
      <c r="CK203" s="1">
        <v>71344935</v>
      </c>
      <c r="CL203" s="1">
        <v>90510496</v>
      </c>
      <c r="CM203" s="1">
        <v>102543773</v>
      </c>
      <c r="CN203" s="1">
        <v>91858292</v>
      </c>
      <c r="CO203" s="1">
        <v>74769434</v>
      </c>
      <c r="CP203" s="1">
        <v>81901788</v>
      </c>
      <c r="CQ203" s="1">
        <v>89817735</v>
      </c>
      <c r="CR203" s="1">
        <v>116071299</v>
      </c>
      <c r="CS203" s="1">
        <v>146320712</v>
      </c>
      <c r="CT203" s="1">
        <v>116274282</v>
      </c>
      <c r="CU203" s="1">
        <v>114709855</v>
      </c>
      <c r="CV203" s="1">
        <v>66004215</v>
      </c>
      <c r="CW203" s="1">
        <v>87642267</v>
      </c>
      <c r="CX203" s="1">
        <v>102137003</v>
      </c>
      <c r="CY203" s="1">
        <v>85222605</v>
      </c>
      <c r="CZ203" s="1">
        <v>57251990</v>
      </c>
      <c r="DA203" s="1">
        <v>96957749</v>
      </c>
      <c r="DB203" s="1">
        <v>61445421</v>
      </c>
      <c r="DC203" s="1">
        <v>76983243</v>
      </c>
      <c r="DD203" s="1">
        <v>0</v>
      </c>
      <c r="DE203" s="1">
        <v>0</v>
      </c>
      <c r="DF203" s="1">
        <v>0</v>
      </c>
      <c r="DH203" s="6">
        <f t="shared" si="87"/>
        <v>6397653715</v>
      </c>
    </row>
    <row r="204" spans="1:112" x14ac:dyDescent="0.2">
      <c r="A204" s="5" t="s">
        <v>28</v>
      </c>
      <c r="B204" s="5" t="s">
        <v>44</v>
      </c>
      <c r="C204" s="1"/>
      <c r="D204" s="1"/>
      <c r="E204" s="1"/>
      <c r="F204" s="1"/>
      <c r="G204" s="1"/>
      <c r="H204" s="1">
        <v>0</v>
      </c>
      <c r="I204" s="1">
        <v>0</v>
      </c>
      <c r="J204" s="1">
        <v>3123281</v>
      </c>
      <c r="K204" s="1">
        <v>12567785</v>
      </c>
      <c r="L204" s="1">
        <v>8839162</v>
      </c>
      <c r="M204" s="1">
        <v>14446570</v>
      </c>
      <c r="N204" s="1">
        <v>14650636</v>
      </c>
      <c r="O204" s="1">
        <v>15531916</v>
      </c>
      <c r="P204" s="1">
        <v>12851283</v>
      </c>
      <c r="Q204" s="1">
        <v>24260149</v>
      </c>
      <c r="R204" s="1">
        <v>16556115</v>
      </c>
      <c r="S204" s="1">
        <v>13719559</v>
      </c>
      <c r="T204" s="1">
        <v>6938369</v>
      </c>
      <c r="U204" s="1">
        <v>13907494</v>
      </c>
      <c r="V204" s="1">
        <v>19200391</v>
      </c>
      <c r="W204" s="1">
        <v>29500108</v>
      </c>
      <c r="X204" s="1">
        <v>38704731</v>
      </c>
      <c r="Y204" s="1">
        <v>27795448</v>
      </c>
      <c r="Z204" s="1">
        <v>25491278</v>
      </c>
      <c r="AA204" s="1">
        <v>46654045</v>
      </c>
      <c r="AB204" s="1">
        <v>15935022</v>
      </c>
      <c r="AC204" s="1">
        <v>13279234</v>
      </c>
      <c r="AD204" s="1">
        <v>2681871</v>
      </c>
      <c r="AE204" s="1">
        <v>10076784</v>
      </c>
      <c r="AF204" s="1">
        <v>12773543</v>
      </c>
      <c r="AG204" s="1">
        <v>26942871</v>
      </c>
      <c r="AH204" s="1">
        <v>34327709</v>
      </c>
      <c r="AI204" s="1">
        <v>39710924</v>
      </c>
      <c r="AJ204" s="1">
        <v>55167842</v>
      </c>
      <c r="AK204" s="1">
        <v>43713332</v>
      </c>
      <c r="AL204" s="1">
        <v>58690627</v>
      </c>
      <c r="AM204" s="1">
        <v>74136826</v>
      </c>
      <c r="AN204" s="1">
        <v>42853819</v>
      </c>
      <c r="AO204" s="1">
        <v>56485521</v>
      </c>
      <c r="AP204" s="1">
        <v>47631275</v>
      </c>
      <c r="AQ204" s="1">
        <v>48136935</v>
      </c>
      <c r="AR204" s="1">
        <v>62163105</v>
      </c>
      <c r="AS204" s="1">
        <v>50676328</v>
      </c>
      <c r="AT204" s="1">
        <v>48189140</v>
      </c>
      <c r="AU204" s="1">
        <v>71160967</v>
      </c>
      <c r="AV204" s="1">
        <v>76951970</v>
      </c>
      <c r="AW204" s="1">
        <v>106927615</v>
      </c>
      <c r="AX204" s="1">
        <v>55231515</v>
      </c>
      <c r="AY204" s="1">
        <v>58807907</v>
      </c>
      <c r="AZ204" s="1">
        <v>32317165</v>
      </c>
      <c r="BA204" s="1">
        <v>61174061</v>
      </c>
      <c r="BB204" s="1">
        <v>46323137</v>
      </c>
      <c r="BC204" s="1">
        <v>58384258</v>
      </c>
      <c r="BD204" s="1">
        <v>35839588</v>
      </c>
      <c r="BE204" s="1">
        <v>42844127</v>
      </c>
      <c r="BF204" s="1">
        <v>61375785</v>
      </c>
      <c r="BG204" s="1">
        <v>88186253</v>
      </c>
      <c r="BH204" s="1">
        <v>72945083</v>
      </c>
      <c r="BI204" s="1">
        <v>77362067</v>
      </c>
      <c r="BJ204" s="1">
        <v>85992852</v>
      </c>
      <c r="BK204" s="1">
        <v>69931023</v>
      </c>
      <c r="BL204" s="1">
        <v>53726354</v>
      </c>
      <c r="BM204" s="1">
        <v>87446553</v>
      </c>
      <c r="BN204" s="1">
        <v>69267032</v>
      </c>
      <c r="BO204" s="1">
        <v>78122519</v>
      </c>
      <c r="BP204" s="1">
        <v>62172239</v>
      </c>
      <c r="BQ204" s="1">
        <v>57550342</v>
      </c>
      <c r="BR204" s="1">
        <v>93206995</v>
      </c>
      <c r="BS204" s="1">
        <v>106399821</v>
      </c>
      <c r="BT204" s="1">
        <v>87952659</v>
      </c>
      <c r="BU204" s="1">
        <v>92429200</v>
      </c>
      <c r="BV204" s="1">
        <v>104238886</v>
      </c>
      <c r="BW204" s="1">
        <v>166861567</v>
      </c>
      <c r="BX204" s="1">
        <v>65452945</v>
      </c>
      <c r="BY204" s="1">
        <v>85659373</v>
      </c>
      <c r="BZ204" s="1">
        <v>104296629</v>
      </c>
      <c r="CA204" s="1">
        <v>77689182</v>
      </c>
      <c r="CB204" s="1">
        <v>58877386</v>
      </c>
      <c r="CC204" s="1">
        <v>77951908</v>
      </c>
      <c r="CD204" s="1">
        <v>60292665</v>
      </c>
      <c r="CE204" s="1">
        <v>111485387</v>
      </c>
      <c r="CF204" s="1">
        <v>75892758</v>
      </c>
      <c r="CG204" s="1">
        <v>114863588</v>
      </c>
      <c r="CH204" s="1">
        <v>61811483</v>
      </c>
      <c r="CI204" s="1">
        <v>118549423</v>
      </c>
      <c r="CJ204" s="1">
        <v>72733624</v>
      </c>
      <c r="CK204" s="1">
        <v>68014075</v>
      </c>
      <c r="CL204" s="1">
        <v>87921560</v>
      </c>
      <c r="CM204" s="1">
        <v>98014503</v>
      </c>
      <c r="CN204" s="1">
        <v>91245636</v>
      </c>
      <c r="CO204" s="1">
        <v>75449452</v>
      </c>
      <c r="CP204" s="1">
        <v>79273915</v>
      </c>
      <c r="CQ204" s="1">
        <v>89830908</v>
      </c>
      <c r="CR204" s="1">
        <v>110691248</v>
      </c>
      <c r="CS204" s="1">
        <v>142468826</v>
      </c>
      <c r="CT204" s="1">
        <v>113522485</v>
      </c>
      <c r="CU204" s="1">
        <v>112781654</v>
      </c>
      <c r="CV204" s="1">
        <v>65788698</v>
      </c>
      <c r="CW204" s="1">
        <v>84402614</v>
      </c>
      <c r="CX204" s="1">
        <v>98885269</v>
      </c>
      <c r="CY204" s="1">
        <v>83740093</v>
      </c>
      <c r="CZ204" s="1">
        <v>57924661</v>
      </c>
      <c r="DA204" s="1">
        <v>94673107</v>
      </c>
      <c r="DB204" s="1">
        <v>59749699</v>
      </c>
      <c r="DC204" s="1">
        <v>72902240</v>
      </c>
      <c r="DD204" s="1">
        <v>0</v>
      </c>
      <c r="DE204" s="1">
        <v>0</v>
      </c>
      <c r="DF204" s="1">
        <v>0</v>
      </c>
      <c r="DH204" s="6">
        <f t="shared" si="87"/>
        <v>6022277562</v>
      </c>
    </row>
    <row r="205" spans="1:112" x14ac:dyDescent="0.2">
      <c r="A205" s="5" t="s">
        <v>28</v>
      </c>
      <c r="B205" s="5" t="s">
        <v>45</v>
      </c>
      <c r="C205" s="1"/>
      <c r="D205" s="1"/>
      <c r="E205" s="1"/>
      <c r="F205" s="1"/>
      <c r="G205" s="1"/>
      <c r="H205" s="1">
        <f t="shared" ref="H205:BS205" si="92">H203-H204</f>
        <v>3458668</v>
      </c>
      <c r="I205" s="1">
        <f t="shared" si="92"/>
        <v>3831141</v>
      </c>
      <c r="J205" s="1">
        <f t="shared" si="92"/>
        <v>6074991</v>
      </c>
      <c r="K205" s="1">
        <f t="shared" si="92"/>
        <v>11207581</v>
      </c>
      <c r="L205" s="1">
        <f t="shared" si="92"/>
        <v>2846957</v>
      </c>
      <c r="M205" s="1">
        <f t="shared" si="92"/>
        <v>6797295</v>
      </c>
      <c r="N205" s="1">
        <f t="shared" si="92"/>
        <v>6163586</v>
      </c>
      <c r="O205" s="1">
        <f t="shared" si="92"/>
        <v>3245666</v>
      </c>
      <c r="P205" s="1">
        <f t="shared" si="92"/>
        <v>-118543</v>
      </c>
      <c r="Q205" s="1">
        <f t="shared" si="92"/>
        <v>7409238</v>
      </c>
      <c r="R205" s="1">
        <f t="shared" si="92"/>
        <v>4659632</v>
      </c>
      <c r="S205" s="1">
        <f t="shared" si="92"/>
        <v>1816825</v>
      </c>
      <c r="T205" s="1">
        <f t="shared" si="92"/>
        <v>2763556</v>
      </c>
      <c r="U205" s="1">
        <f t="shared" si="92"/>
        <v>3977296</v>
      </c>
      <c r="V205" s="1">
        <f t="shared" si="92"/>
        <v>6009951</v>
      </c>
      <c r="W205" s="1">
        <f t="shared" si="92"/>
        <v>8455063</v>
      </c>
      <c r="X205" s="1">
        <f t="shared" si="92"/>
        <v>7688806</v>
      </c>
      <c r="Y205" s="1">
        <f t="shared" si="92"/>
        <v>5100098</v>
      </c>
      <c r="Z205" s="1">
        <f t="shared" si="92"/>
        <v>3933606</v>
      </c>
      <c r="AA205" s="1">
        <f t="shared" si="92"/>
        <v>6907581</v>
      </c>
      <c r="AB205" s="1">
        <f t="shared" si="92"/>
        <v>1065906</v>
      </c>
      <c r="AC205" s="1">
        <f t="shared" si="92"/>
        <v>-98133</v>
      </c>
      <c r="AD205" s="1">
        <f t="shared" si="92"/>
        <v>-47821</v>
      </c>
      <c r="AE205" s="1">
        <f t="shared" si="92"/>
        <v>-164722</v>
      </c>
      <c r="AF205" s="1">
        <f t="shared" si="92"/>
        <v>-134261</v>
      </c>
      <c r="AG205" s="1">
        <f t="shared" si="92"/>
        <v>2609116</v>
      </c>
      <c r="AH205" s="1">
        <f t="shared" si="92"/>
        <v>5179472</v>
      </c>
      <c r="AI205" s="1">
        <f t="shared" si="92"/>
        <v>5372254</v>
      </c>
      <c r="AJ205" s="1">
        <f t="shared" si="92"/>
        <v>3342647</v>
      </c>
      <c r="AK205" s="1">
        <f t="shared" si="92"/>
        <v>6841203</v>
      </c>
      <c r="AL205" s="1">
        <f t="shared" si="92"/>
        <v>7695889</v>
      </c>
      <c r="AM205" s="1">
        <f t="shared" si="92"/>
        <v>8504153</v>
      </c>
      <c r="AN205" s="1">
        <f t="shared" si="92"/>
        <v>3360045</v>
      </c>
      <c r="AO205" s="1">
        <f t="shared" si="92"/>
        <v>4269951</v>
      </c>
      <c r="AP205" s="1">
        <f t="shared" si="92"/>
        <v>7207942</v>
      </c>
      <c r="AQ205" s="1">
        <f t="shared" si="92"/>
        <v>4758495</v>
      </c>
      <c r="AR205" s="1">
        <f t="shared" si="92"/>
        <v>9104439</v>
      </c>
      <c r="AS205" s="1">
        <f t="shared" si="92"/>
        <v>4289929</v>
      </c>
      <c r="AT205" s="1">
        <f t="shared" si="92"/>
        <v>3833941</v>
      </c>
      <c r="AU205" s="1">
        <f t="shared" si="92"/>
        <v>11279453</v>
      </c>
      <c r="AV205" s="1">
        <f t="shared" si="92"/>
        <v>7200065</v>
      </c>
      <c r="AW205" s="1">
        <f t="shared" si="92"/>
        <v>7861111</v>
      </c>
      <c r="AX205" s="1">
        <f t="shared" si="92"/>
        <v>3816158</v>
      </c>
      <c r="AY205" s="1">
        <f t="shared" si="92"/>
        <v>1387995</v>
      </c>
      <c r="AZ205" s="1">
        <f t="shared" si="92"/>
        <v>-1443793</v>
      </c>
      <c r="BA205" s="1">
        <f t="shared" si="92"/>
        <v>5230309</v>
      </c>
      <c r="BB205" s="1">
        <f t="shared" si="92"/>
        <v>4022671</v>
      </c>
      <c r="BC205" s="1">
        <f t="shared" si="92"/>
        <v>3209758</v>
      </c>
      <c r="BD205" s="1">
        <f t="shared" si="92"/>
        <v>3405625</v>
      </c>
      <c r="BE205" s="1">
        <f t="shared" si="92"/>
        <v>2163216</v>
      </c>
      <c r="BF205" s="1">
        <f t="shared" si="92"/>
        <v>3896600</v>
      </c>
      <c r="BG205" s="1">
        <f t="shared" si="92"/>
        <v>9794869</v>
      </c>
      <c r="BH205" s="1">
        <f t="shared" si="92"/>
        <v>4961958</v>
      </c>
      <c r="BI205" s="1">
        <f t="shared" si="92"/>
        <v>3064864</v>
      </c>
      <c r="BJ205" s="1">
        <f t="shared" si="92"/>
        <v>1708619</v>
      </c>
      <c r="BK205" s="1">
        <f t="shared" si="92"/>
        <v>2399416</v>
      </c>
      <c r="BL205" s="1">
        <f t="shared" si="92"/>
        <v>894866</v>
      </c>
      <c r="BM205" s="1">
        <f t="shared" si="92"/>
        <v>5593446</v>
      </c>
      <c r="BN205" s="1">
        <f t="shared" si="92"/>
        <v>3037004</v>
      </c>
      <c r="BO205" s="1">
        <f t="shared" si="92"/>
        <v>4042885</v>
      </c>
      <c r="BP205" s="1">
        <f t="shared" si="92"/>
        <v>4184599</v>
      </c>
      <c r="BQ205" s="1">
        <f t="shared" si="92"/>
        <v>3463091</v>
      </c>
      <c r="BR205" s="1">
        <f t="shared" si="92"/>
        <v>2834024</v>
      </c>
      <c r="BS205" s="1">
        <f t="shared" si="92"/>
        <v>4745564</v>
      </c>
      <c r="BT205" s="1">
        <f t="shared" ref="BT205:DF205" si="93">BT203-BT204</f>
        <v>4305636</v>
      </c>
      <c r="BU205" s="1">
        <f t="shared" si="93"/>
        <v>3456850</v>
      </c>
      <c r="BV205" s="1">
        <f t="shared" si="93"/>
        <v>5187598</v>
      </c>
      <c r="BW205" s="1">
        <f t="shared" si="93"/>
        <v>3896767</v>
      </c>
      <c r="BX205" s="1">
        <f t="shared" si="93"/>
        <v>2111441</v>
      </c>
      <c r="BY205" s="1">
        <f t="shared" si="93"/>
        <v>4028598</v>
      </c>
      <c r="BZ205" s="1">
        <f t="shared" si="93"/>
        <v>1931308</v>
      </c>
      <c r="CA205" s="1">
        <f t="shared" si="93"/>
        <v>1061801</v>
      </c>
      <c r="CB205" s="1">
        <f t="shared" si="93"/>
        <v>1189541</v>
      </c>
      <c r="CC205" s="1">
        <f t="shared" si="93"/>
        <v>2075312</v>
      </c>
      <c r="CD205" s="1">
        <f t="shared" si="93"/>
        <v>2433778</v>
      </c>
      <c r="CE205" s="1">
        <f t="shared" si="93"/>
        <v>8070947</v>
      </c>
      <c r="CF205" s="1">
        <f t="shared" si="93"/>
        <v>1570642</v>
      </c>
      <c r="CG205" s="1">
        <f t="shared" si="93"/>
        <v>4099076</v>
      </c>
      <c r="CH205" s="1">
        <f t="shared" si="93"/>
        <v>1026258</v>
      </c>
      <c r="CI205" s="1">
        <f t="shared" si="93"/>
        <v>3645442</v>
      </c>
      <c r="CJ205" s="1">
        <f t="shared" si="93"/>
        <v>824895</v>
      </c>
      <c r="CK205" s="1">
        <f t="shared" si="93"/>
        <v>3330860</v>
      </c>
      <c r="CL205" s="1">
        <f t="shared" si="93"/>
        <v>2588936</v>
      </c>
      <c r="CM205" s="1">
        <f t="shared" si="93"/>
        <v>4529270</v>
      </c>
      <c r="CN205" s="1">
        <f t="shared" si="93"/>
        <v>612656</v>
      </c>
      <c r="CO205" s="1">
        <f t="shared" si="93"/>
        <v>-680018</v>
      </c>
      <c r="CP205" s="1">
        <f t="shared" si="93"/>
        <v>2627873</v>
      </c>
      <c r="CQ205" s="1">
        <f t="shared" si="93"/>
        <v>-13173</v>
      </c>
      <c r="CR205" s="1">
        <f t="shared" si="93"/>
        <v>5380051</v>
      </c>
      <c r="CS205" s="1">
        <f t="shared" si="93"/>
        <v>3851886</v>
      </c>
      <c r="CT205" s="1">
        <f t="shared" si="93"/>
        <v>2751797</v>
      </c>
      <c r="CU205" s="1">
        <f t="shared" si="93"/>
        <v>1928201</v>
      </c>
      <c r="CV205" s="1">
        <f t="shared" si="93"/>
        <v>215517</v>
      </c>
      <c r="CW205" s="1">
        <f t="shared" si="93"/>
        <v>3239653</v>
      </c>
      <c r="CX205" s="1">
        <f t="shared" si="93"/>
        <v>3251734</v>
      </c>
      <c r="CY205" s="1">
        <f t="shared" si="93"/>
        <v>1482512</v>
      </c>
      <c r="CZ205" s="1">
        <f t="shared" si="93"/>
        <v>-672671</v>
      </c>
      <c r="DA205" s="1">
        <f t="shared" si="93"/>
        <v>2284642</v>
      </c>
      <c r="DB205" s="1">
        <f t="shared" si="93"/>
        <v>1695722</v>
      </c>
      <c r="DC205" s="1">
        <f t="shared" si="93"/>
        <v>4081003</v>
      </c>
      <c r="DD205" s="1">
        <f t="shared" si="93"/>
        <v>0</v>
      </c>
      <c r="DE205" s="1">
        <f t="shared" si="93"/>
        <v>0</v>
      </c>
      <c r="DF205" s="1">
        <f t="shared" si="93"/>
        <v>0</v>
      </c>
      <c r="DH205" s="6">
        <f t="shared" si="87"/>
        <v>375376153</v>
      </c>
    </row>
    <row r="206" spans="1:112" x14ac:dyDescent="0.2">
      <c r="A206" s="5" t="s">
        <v>28</v>
      </c>
      <c r="B206" s="5" t="s">
        <v>6</v>
      </c>
      <c r="C206" s="1"/>
      <c r="D206" s="1"/>
      <c r="E206" s="1"/>
      <c r="F206" s="1"/>
      <c r="G206" s="1"/>
      <c r="H206" s="1">
        <v>3458668</v>
      </c>
      <c r="I206" s="1">
        <v>3831141</v>
      </c>
      <c r="J206" s="1">
        <v>9198272</v>
      </c>
      <c r="K206" s="1">
        <v>23775366</v>
      </c>
      <c r="L206" s="1">
        <v>11686119</v>
      </c>
      <c r="M206" s="1">
        <v>21243865</v>
      </c>
      <c r="N206" s="1">
        <v>20814222</v>
      </c>
      <c r="O206" s="1">
        <v>18777582</v>
      </c>
      <c r="P206" s="1">
        <v>12732740</v>
      </c>
      <c r="Q206" s="1">
        <v>31669387</v>
      </c>
      <c r="R206" s="1">
        <v>21215747</v>
      </c>
      <c r="S206" s="1">
        <v>15536384</v>
      </c>
      <c r="T206" s="1">
        <v>9701925</v>
      </c>
      <c r="U206" s="1">
        <v>17884790</v>
      </c>
      <c r="V206" s="1">
        <v>25210342</v>
      </c>
      <c r="W206" s="1">
        <v>37955171</v>
      </c>
      <c r="X206" s="1">
        <v>46393537</v>
      </c>
      <c r="Y206" s="1">
        <v>32895546</v>
      </c>
      <c r="Z206" s="1">
        <v>29424884</v>
      </c>
      <c r="AA206" s="1">
        <v>53561626</v>
      </c>
      <c r="AB206" s="1">
        <v>17000928</v>
      </c>
      <c r="AC206" s="1">
        <v>13181101</v>
      </c>
      <c r="AD206" s="1">
        <v>2634050</v>
      </c>
      <c r="AE206" s="1">
        <v>9912062</v>
      </c>
      <c r="AF206" s="1">
        <v>12639282</v>
      </c>
      <c r="AG206" s="1">
        <v>29551987</v>
      </c>
      <c r="AH206" s="1">
        <v>39507181</v>
      </c>
      <c r="AI206" s="1">
        <v>45083178</v>
      </c>
      <c r="AJ206" s="1">
        <v>58510489</v>
      </c>
      <c r="AK206" s="1">
        <v>50554535</v>
      </c>
      <c r="AL206" s="1">
        <v>66386516</v>
      </c>
      <c r="AM206" s="1">
        <v>82640979</v>
      </c>
      <c r="AN206" s="1">
        <v>46213864</v>
      </c>
      <c r="AO206" s="1">
        <v>60755472</v>
      </c>
      <c r="AP206" s="1">
        <v>54839217</v>
      </c>
      <c r="AQ206" s="1">
        <v>52895430</v>
      </c>
      <c r="AR206" s="1">
        <v>71267544</v>
      </c>
      <c r="AS206" s="1">
        <v>54966257</v>
      </c>
      <c r="AT206" s="1">
        <v>52023081</v>
      </c>
      <c r="AU206" s="1">
        <v>82440420</v>
      </c>
      <c r="AV206" s="1">
        <v>84152035</v>
      </c>
      <c r="AW206" s="1">
        <v>114788726</v>
      </c>
      <c r="AX206" s="1">
        <v>59047673</v>
      </c>
      <c r="AY206" s="1">
        <v>60195902</v>
      </c>
      <c r="AZ206" s="1">
        <v>30873372</v>
      </c>
      <c r="BA206" s="1">
        <v>66404370</v>
      </c>
      <c r="BB206" s="1">
        <v>50345808</v>
      </c>
      <c r="BC206" s="1">
        <v>61594016</v>
      </c>
      <c r="BD206" s="1">
        <v>39245213</v>
      </c>
      <c r="BE206" s="1">
        <v>45007343</v>
      </c>
      <c r="BF206" s="1">
        <v>65272385</v>
      </c>
      <c r="BG206" s="1">
        <v>97981122</v>
      </c>
      <c r="BH206" s="1">
        <v>77907041</v>
      </c>
      <c r="BI206" s="1">
        <v>80426931</v>
      </c>
      <c r="BJ206" s="1">
        <v>87701471</v>
      </c>
      <c r="BK206" s="1">
        <v>72330439</v>
      </c>
      <c r="BL206" s="1">
        <v>54621220</v>
      </c>
      <c r="BM206" s="1">
        <v>93039999</v>
      </c>
      <c r="BN206" s="1">
        <v>72304036</v>
      </c>
      <c r="BO206" s="1">
        <v>82165404</v>
      </c>
      <c r="BP206" s="1">
        <v>66356838</v>
      </c>
      <c r="BQ206" s="1">
        <v>61013433</v>
      </c>
      <c r="BR206" s="1">
        <v>96041019</v>
      </c>
      <c r="BS206" s="1">
        <v>111145385</v>
      </c>
      <c r="BT206" s="1">
        <v>92258295</v>
      </c>
      <c r="BU206" s="1">
        <v>95886050</v>
      </c>
      <c r="BV206" s="1">
        <v>109426484</v>
      </c>
      <c r="BW206" s="1">
        <v>170758334</v>
      </c>
      <c r="BX206" s="1">
        <v>67564386</v>
      </c>
      <c r="BY206" s="1">
        <v>89687971</v>
      </c>
      <c r="BZ206" s="1">
        <v>106227937</v>
      </c>
      <c r="CA206" s="1">
        <v>78750983</v>
      </c>
      <c r="CB206" s="1">
        <v>60066927</v>
      </c>
      <c r="CC206" s="1">
        <v>80027220</v>
      </c>
      <c r="CD206" s="1">
        <v>62726443</v>
      </c>
      <c r="CE206" s="1">
        <v>119556334</v>
      </c>
      <c r="CF206" s="1">
        <v>77463400</v>
      </c>
      <c r="CG206" s="1">
        <v>118962664</v>
      </c>
      <c r="CH206" s="1">
        <v>62837741</v>
      </c>
      <c r="CI206" s="1">
        <v>122194865</v>
      </c>
      <c r="CJ206" s="1">
        <v>73558519</v>
      </c>
      <c r="CK206" s="1">
        <v>71344935</v>
      </c>
      <c r="CL206" s="1">
        <v>90510496</v>
      </c>
      <c r="CM206" s="1">
        <v>102543773</v>
      </c>
      <c r="CN206" s="1">
        <v>91858292</v>
      </c>
      <c r="CO206" s="1">
        <v>74769434</v>
      </c>
      <c r="CP206" s="1">
        <v>81901788</v>
      </c>
      <c r="CQ206" s="1">
        <v>89817735</v>
      </c>
      <c r="CR206" s="1">
        <v>116071299</v>
      </c>
      <c r="CS206" s="1">
        <v>146320712</v>
      </c>
      <c r="CT206" s="1">
        <v>116274282</v>
      </c>
      <c r="CU206" s="1">
        <v>114709855</v>
      </c>
      <c r="CV206" s="1">
        <v>66004215</v>
      </c>
      <c r="CW206" s="1">
        <v>87642267</v>
      </c>
      <c r="CX206" s="1">
        <v>102137003</v>
      </c>
      <c r="CY206" s="1">
        <v>85222605</v>
      </c>
      <c r="CZ206" s="1">
        <v>57251990</v>
      </c>
      <c r="DA206" s="1">
        <v>96957749</v>
      </c>
      <c r="DB206" s="1">
        <v>61445421</v>
      </c>
      <c r="DC206" s="1">
        <v>76983243</v>
      </c>
      <c r="DD206" s="1">
        <v>0</v>
      </c>
      <c r="DE206" s="1">
        <v>0</v>
      </c>
      <c r="DF206" s="1">
        <v>0</v>
      </c>
      <c r="DH206" s="6">
        <f t="shared" si="87"/>
        <v>6397653715</v>
      </c>
    </row>
    <row r="207" spans="1:112" x14ac:dyDescent="0.2">
      <c r="A207" s="5" t="s">
        <v>28</v>
      </c>
      <c r="B207" s="5" t="s">
        <v>7</v>
      </c>
      <c r="C207" s="1"/>
      <c r="D207" s="1"/>
      <c r="E207" s="1"/>
      <c r="F207" s="1"/>
      <c r="G207" s="1"/>
      <c r="H207" s="1">
        <v>337220.13000000006</v>
      </c>
      <c r="I207" s="1">
        <v>373536.16250000003</v>
      </c>
      <c r="J207" s="1">
        <v>1039589.7199999999</v>
      </c>
      <c r="K207" s="1">
        <v>2899390.0749999997</v>
      </c>
      <c r="L207" s="1">
        <v>1528102.4874999998</v>
      </c>
      <c r="M207" s="1">
        <v>2723412.3125</v>
      </c>
      <c r="N207" s="1">
        <v>2694722.7749999999</v>
      </c>
      <c r="O207" s="1">
        <v>2529275.7749999999</v>
      </c>
      <c r="P207" s="1">
        <v>1820572.25</v>
      </c>
      <c r="Q207" s="1">
        <v>4180001.3374999999</v>
      </c>
      <c r="R207" s="1">
        <v>2817228.8374999999</v>
      </c>
      <c r="S207" s="1">
        <v>2134706.7999999998</v>
      </c>
      <c r="T207" s="1">
        <v>1265177.0625</v>
      </c>
      <c r="U207" s="1">
        <v>2363675.875</v>
      </c>
      <c r="V207" s="1">
        <v>3325207.2750000004</v>
      </c>
      <c r="W207" s="1">
        <v>5013774.6375000002</v>
      </c>
      <c r="X207" s="1">
        <v>6253971.2124999994</v>
      </c>
      <c r="Y207" s="1">
        <v>4457699.3250000002</v>
      </c>
      <c r="Z207" s="1">
        <v>4108704.05</v>
      </c>
      <c r="AA207" s="1">
        <v>7260903.3249999993</v>
      </c>
      <c r="AB207" s="1">
        <v>2460946.6</v>
      </c>
      <c r="AC207" s="1">
        <v>1897039.7625</v>
      </c>
      <c r="AD207" s="1">
        <v>389651.625</v>
      </c>
      <c r="AE207" s="1">
        <v>1427144.7749999999</v>
      </c>
      <c r="AF207" s="1">
        <v>1810941.0249999999</v>
      </c>
      <c r="AG207" s="1">
        <v>4041290.8374999999</v>
      </c>
      <c r="AH207" s="1">
        <v>5413179.7625000002</v>
      </c>
      <c r="AI207" s="1">
        <v>6168040.7250000006</v>
      </c>
      <c r="AJ207" s="1">
        <v>8172254.1124999998</v>
      </c>
      <c r="AK207" s="1">
        <v>6865993.6875</v>
      </c>
      <c r="AL207" s="1">
        <v>9099507.4499999993</v>
      </c>
      <c r="AM207" s="1">
        <v>11395401.237499999</v>
      </c>
      <c r="AN207" s="1">
        <v>6342825.2999999998</v>
      </c>
      <c r="AO207" s="1">
        <v>8505955.4000000004</v>
      </c>
      <c r="AP207" s="1">
        <v>7475339.2125000004</v>
      </c>
      <c r="AQ207" s="1">
        <v>7436305.875</v>
      </c>
      <c r="AR207" s="1">
        <v>9623609.3000000007</v>
      </c>
      <c r="AS207" s="1">
        <v>7625992.2125000004</v>
      </c>
      <c r="AT207" s="1">
        <v>7328830.5125000002</v>
      </c>
      <c r="AU207" s="1">
        <v>11202752.25</v>
      </c>
      <c r="AV207" s="1">
        <v>11635656.4375</v>
      </c>
      <c r="AW207" s="1">
        <v>16030040.074999999</v>
      </c>
      <c r="AX207" s="1">
        <v>8220709.9124999996</v>
      </c>
      <c r="AY207" s="1">
        <v>8771554.7750000004</v>
      </c>
      <c r="AZ207" s="1">
        <v>4678626.1499999994</v>
      </c>
      <c r="BA207" s="1">
        <v>9068292.625</v>
      </c>
      <c r="BB207" s="1">
        <v>7055245.5999999996</v>
      </c>
      <c r="BC207" s="1">
        <v>8767941.1999999993</v>
      </c>
      <c r="BD207" s="1">
        <v>5403904.1624999996</v>
      </c>
      <c r="BE207" s="1">
        <v>6386726.7874999996</v>
      </c>
      <c r="BF207" s="1">
        <v>9138051.8125</v>
      </c>
      <c r="BG207" s="1">
        <v>13351666.025</v>
      </c>
      <c r="BH207" s="1">
        <v>10853001.012499999</v>
      </c>
      <c r="BI207" s="1">
        <v>11497235.637500001</v>
      </c>
      <c r="BJ207" s="1">
        <v>12444283.387500001</v>
      </c>
      <c r="BK207" s="1">
        <v>10345651.487499999</v>
      </c>
      <c r="BL207" s="1">
        <v>7808044.25</v>
      </c>
      <c r="BM207" s="1">
        <v>13071153.987500001</v>
      </c>
      <c r="BN207" s="1">
        <v>10114804.450000001</v>
      </c>
      <c r="BO207" s="1">
        <v>11492999.550000001</v>
      </c>
      <c r="BP207" s="1">
        <v>9209804.4749999996</v>
      </c>
      <c r="BQ207" s="1">
        <v>8465451.9124999996</v>
      </c>
      <c r="BR207" s="1">
        <v>13545678.737500001</v>
      </c>
      <c r="BS207" s="1">
        <v>15649731.3125</v>
      </c>
      <c r="BT207" s="1">
        <v>12951093.6875</v>
      </c>
      <c r="BU207" s="1">
        <v>13507773.625</v>
      </c>
      <c r="BV207" s="1">
        <v>15305584.050000001</v>
      </c>
      <c r="BW207" s="1">
        <v>24346389.175000001</v>
      </c>
      <c r="BX207" s="1">
        <v>9962860.8250000011</v>
      </c>
      <c r="BY207" s="1">
        <v>12136258.637500001</v>
      </c>
      <c r="BZ207" s="1">
        <v>15099915.212499999</v>
      </c>
      <c r="CA207" s="1">
        <v>11357059.2875</v>
      </c>
      <c r="CB207" s="1">
        <v>8548408.5875000004</v>
      </c>
      <c r="CC207" s="1">
        <v>11265758.25</v>
      </c>
      <c r="CD207" s="1">
        <v>8808318.5374999996</v>
      </c>
      <c r="CE207" s="1">
        <v>16640430.175000001</v>
      </c>
      <c r="CF207" s="1">
        <v>11031427.5</v>
      </c>
      <c r="CG207" s="1">
        <v>16752298.300000001</v>
      </c>
      <c r="CH207" s="1">
        <v>8952233.7625000011</v>
      </c>
      <c r="CI207" s="1">
        <v>17277725.8125</v>
      </c>
      <c r="CJ207" s="1">
        <v>10521640.487499999</v>
      </c>
      <c r="CK207" s="1">
        <v>9928026.6875</v>
      </c>
      <c r="CL207" s="1">
        <v>12806430.199999999</v>
      </c>
      <c r="CM207" s="1">
        <v>14471313.1625</v>
      </c>
      <c r="CN207" s="1">
        <v>13133298.65</v>
      </c>
      <c r="CO207" s="1">
        <v>15883940.925000001</v>
      </c>
      <c r="CP207" s="1">
        <v>17628311.350000001</v>
      </c>
      <c r="CQ207" s="1">
        <v>19022752.6875</v>
      </c>
      <c r="CR207" s="1">
        <v>23761856.237499997</v>
      </c>
      <c r="CS207" s="1">
        <v>30420411.900000002</v>
      </c>
      <c r="CT207" s="1">
        <v>24220667.524999999</v>
      </c>
      <c r="CU207" s="1">
        <v>23943125</v>
      </c>
      <c r="CV207" s="1">
        <v>13869935</v>
      </c>
      <c r="CW207" s="1">
        <v>18013315</v>
      </c>
      <c r="CX207" s="1">
        <v>21017351</v>
      </c>
      <c r="CY207" s="1">
        <v>17996093</v>
      </c>
      <c r="CZ207" s="1">
        <v>12453474</v>
      </c>
      <c r="DA207" s="1">
        <v>20006397</v>
      </c>
      <c r="DB207" s="1">
        <v>12767931</v>
      </c>
      <c r="DC207" s="1">
        <v>15687555</v>
      </c>
      <c r="DD207" s="1">
        <v>0</v>
      </c>
      <c r="DE207" s="1">
        <v>0</v>
      </c>
      <c r="DF207" s="1">
        <v>0</v>
      </c>
      <c r="DH207" s="6">
        <f t="shared" si="87"/>
        <v>988313490.08749986</v>
      </c>
    </row>
    <row r="208" spans="1:112" x14ac:dyDescent="0.2">
      <c r="A208" s="5" t="str">
        <f>A207</f>
        <v>NJ</v>
      </c>
      <c r="B208" s="5" t="s">
        <v>41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H208" s="6">
        <f t="shared" si="87"/>
        <v>0</v>
      </c>
    </row>
    <row r="209" spans="1:112" x14ac:dyDescent="0.2">
      <c r="A209" s="5" t="s">
        <v>29</v>
      </c>
      <c r="B209" s="5" t="s">
        <v>4</v>
      </c>
      <c r="C209" s="1"/>
      <c r="D209" s="1"/>
      <c r="E209" s="1"/>
      <c r="F209" s="1"/>
      <c r="G209" s="1"/>
      <c r="H209" s="1">
        <v>287209266.49000001</v>
      </c>
      <c r="I209" s="1">
        <v>245921989.69999999</v>
      </c>
      <c r="J209" s="1">
        <v>247845249.96000001</v>
      </c>
      <c r="K209" s="1">
        <v>571842456.67999995</v>
      </c>
      <c r="L209" s="1">
        <v>529615963.77999997</v>
      </c>
      <c r="M209" s="1">
        <v>582131937.92000008</v>
      </c>
      <c r="N209" s="1">
        <v>561996236.52999997</v>
      </c>
      <c r="O209" s="1">
        <v>496621767.70999998</v>
      </c>
      <c r="P209" s="1">
        <v>458408433.37</v>
      </c>
      <c r="Q209" s="1">
        <v>596669501.64999998</v>
      </c>
      <c r="R209" s="1">
        <v>327411634.97000003</v>
      </c>
      <c r="S209" s="1">
        <v>317515602.11000001</v>
      </c>
      <c r="T209" s="1">
        <v>322019502.26999998</v>
      </c>
      <c r="U209" s="1">
        <v>235815930.87</v>
      </c>
      <c r="V209" s="1">
        <v>287956833.26999998</v>
      </c>
      <c r="W209" s="1">
        <v>546176813.86000001</v>
      </c>
      <c r="X209" s="1">
        <v>543859680.93999994</v>
      </c>
      <c r="Y209" s="1">
        <v>614546602.07000017</v>
      </c>
      <c r="Z209" s="1">
        <v>571569898.87</v>
      </c>
      <c r="AA209" s="1">
        <v>501967157.87</v>
      </c>
      <c r="AB209" s="1">
        <v>491733237.60000002</v>
      </c>
      <c r="AC209" s="1">
        <v>141046270.15000001</v>
      </c>
      <c r="AD209" s="1">
        <v>13928478.469999999</v>
      </c>
      <c r="AE209" s="1">
        <v>42252349.270000003</v>
      </c>
      <c r="AF209" s="1">
        <v>78214069.299999997</v>
      </c>
      <c r="AG209" s="1">
        <v>163647060.11000001</v>
      </c>
      <c r="AH209" s="1">
        <v>475052883.78000003</v>
      </c>
      <c r="AI209" s="1">
        <v>575330985.97000003</v>
      </c>
      <c r="AJ209" s="1">
        <v>659620341.75000012</v>
      </c>
      <c r="AK209" s="1">
        <v>609641775.38</v>
      </c>
      <c r="AL209" s="1">
        <v>588417813.99000001</v>
      </c>
      <c r="AM209" s="1">
        <v>646535290.75</v>
      </c>
      <c r="AN209" s="1">
        <v>554273128.19000006</v>
      </c>
      <c r="AO209" s="1">
        <v>640733770.6500001</v>
      </c>
      <c r="AP209" s="1">
        <v>458053198.44999999</v>
      </c>
      <c r="AQ209" s="1">
        <v>477392953.34000003</v>
      </c>
      <c r="AR209" s="1">
        <v>545190053.97000003</v>
      </c>
      <c r="AS209" s="1">
        <v>409892335.74999994</v>
      </c>
      <c r="AT209" s="1">
        <v>427629848.65999997</v>
      </c>
      <c r="AU209" s="1">
        <v>786600934.12999988</v>
      </c>
      <c r="AV209" s="1">
        <v>1099984845.96</v>
      </c>
      <c r="AW209" s="1">
        <v>1086231414.6099999</v>
      </c>
      <c r="AX209" s="1">
        <v>1013256348.83</v>
      </c>
      <c r="AY209" s="1">
        <v>1109920669.28</v>
      </c>
      <c r="AZ209" s="1">
        <v>781000247.25999999</v>
      </c>
      <c r="BA209" s="1">
        <v>863021809.93000007</v>
      </c>
      <c r="BB209" s="1">
        <v>582560320.61999989</v>
      </c>
      <c r="BC209" s="1">
        <v>561575750.31000006</v>
      </c>
      <c r="BD209" s="1">
        <v>490267987.40999997</v>
      </c>
      <c r="BE209" s="1">
        <v>419418313.85000002</v>
      </c>
      <c r="BF209" s="1">
        <v>408657871.64999998</v>
      </c>
      <c r="BG209" s="1">
        <v>760813027.70999992</v>
      </c>
      <c r="BH209" s="1">
        <v>920816392.66000009</v>
      </c>
      <c r="BI209" s="1">
        <v>928278597.56999993</v>
      </c>
      <c r="BJ209" s="1">
        <v>880478187.63000011</v>
      </c>
      <c r="BK209" s="1">
        <v>936525773.5999999</v>
      </c>
      <c r="BL209" s="1">
        <v>659377075.6500001</v>
      </c>
      <c r="BM209" s="1">
        <v>829805359.67999995</v>
      </c>
      <c r="BN209" s="1">
        <v>598023291.37999988</v>
      </c>
      <c r="BO209" s="1">
        <v>527038606.00999993</v>
      </c>
      <c r="BP209" s="1">
        <v>478816109.6500001</v>
      </c>
      <c r="BQ209" s="1">
        <v>408115092.5399999</v>
      </c>
      <c r="BR209" s="1">
        <v>431162546.49000001</v>
      </c>
      <c r="BS209" s="1">
        <v>811252451.53999996</v>
      </c>
      <c r="BT209" s="1">
        <v>815604681.44000006</v>
      </c>
      <c r="BU209" s="1">
        <v>921852659.30999994</v>
      </c>
      <c r="BV209" s="1">
        <v>843387942.56999993</v>
      </c>
      <c r="BW209" s="1">
        <v>782929139.92000008</v>
      </c>
      <c r="BX209" s="1">
        <v>712237938.0400002</v>
      </c>
      <c r="BY209" s="1">
        <v>784408729.36999989</v>
      </c>
      <c r="BZ209" s="1">
        <v>569290077.82000005</v>
      </c>
      <c r="CA209" s="1">
        <v>515056712.97000003</v>
      </c>
      <c r="CB209" s="1">
        <v>481267087.96000004</v>
      </c>
      <c r="CC209" s="1">
        <v>375651007.07999998</v>
      </c>
      <c r="CD209" s="1">
        <v>455507767.26999998</v>
      </c>
      <c r="CE209" s="1">
        <v>764630178.3900001</v>
      </c>
      <c r="CF209" s="1">
        <v>795030841.69000006</v>
      </c>
      <c r="CG209" s="1">
        <v>837895439.00999987</v>
      </c>
      <c r="CH209" s="1">
        <v>821205195.79999995</v>
      </c>
      <c r="CI209" s="1">
        <v>797031188.92999995</v>
      </c>
      <c r="CJ209" s="1">
        <v>604335085.07000005</v>
      </c>
      <c r="CK209" s="1">
        <v>860555684.25999999</v>
      </c>
      <c r="CL209" s="1">
        <v>618733917.50999999</v>
      </c>
      <c r="CM209" s="1">
        <v>576785943.6099999</v>
      </c>
      <c r="CN209" s="1">
        <v>496647352.39000005</v>
      </c>
      <c r="CO209" s="1">
        <v>419377698.31999999</v>
      </c>
      <c r="CP209" s="1">
        <v>455088665.70999992</v>
      </c>
      <c r="CQ209" s="1">
        <v>791093957.55000007</v>
      </c>
      <c r="CR209" s="1">
        <v>798044488.85000002</v>
      </c>
      <c r="CS209" s="1">
        <v>908119065.48000002</v>
      </c>
      <c r="CT209" s="1">
        <v>746685266.12</v>
      </c>
      <c r="CU209" s="1">
        <v>795206429.93999994</v>
      </c>
      <c r="CV209" s="1">
        <v>579607882.14999998</v>
      </c>
      <c r="CW209" s="1">
        <v>762978421.42999995</v>
      </c>
      <c r="CX209" s="1">
        <v>525062550.67000008</v>
      </c>
      <c r="CY209" s="1">
        <v>545714663.58999991</v>
      </c>
      <c r="CZ209" s="1">
        <v>578552324.81999993</v>
      </c>
      <c r="DA209" s="1">
        <v>484234693.87755102</v>
      </c>
      <c r="DB209" s="1">
        <v>403044554.45544559</v>
      </c>
      <c r="DC209" s="1">
        <v>0</v>
      </c>
      <c r="DD209" s="1">
        <v>0</v>
      </c>
      <c r="DE209" s="1">
        <v>0</v>
      </c>
      <c r="DF209" s="1">
        <v>0</v>
      </c>
      <c r="DH209" s="6">
        <f t="shared" si="87"/>
        <v>58441542565.743004</v>
      </c>
    </row>
    <row r="210" spans="1:112" x14ac:dyDescent="0.2">
      <c r="A210" s="5" t="s">
        <v>29</v>
      </c>
      <c r="B210" s="5" t="s">
        <v>42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>
        <v>245780361</v>
      </c>
      <c r="AB210" s="1">
        <v>218899816</v>
      </c>
      <c r="AC210" s="1">
        <v>88891577</v>
      </c>
      <c r="AD210" s="1">
        <v>13467619</v>
      </c>
      <c r="AE210" s="1">
        <v>41352895</v>
      </c>
      <c r="AF210" s="1">
        <v>61789845</v>
      </c>
      <c r="AG210" s="1">
        <v>112921450</v>
      </c>
      <c r="AH210" s="1">
        <v>305463392</v>
      </c>
      <c r="AI210" s="1">
        <v>315999549</v>
      </c>
      <c r="AJ210" s="1">
        <v>376878437</v>
      </c>
      <c r="AK210" s="1">
        <v>343913785</v>
      </c>
      <c r="AL210" s="1">
        <v>352082988</v>
      </c>
      <c r="AM210" s="1">
        <v>363505271</v>
      </c>
      <c r="AN210" s="1">
        <v>316192014</v>
      </c>
      <c r="AO210" s="1">
        <v>385152019</v>
      </c>
      <c r="AP210" s="1">
        <v>297203687</v>
      </c>
      <c r="AQ210" s="1">
        <v>297811869</v>
      </c>
      <c r="AR210" s="1">
        <v>314620405</v>
      </c>
      <c r="AS210" s="1">
        <v>241978325</v>
      </c>
      <c r="AT210" s="1">
        <v>296838373</v>
      </c>
      <c r="AU210" s="1">
        <v>495125326</v>
      </c>
      <c r="AV210" s="1">
        <v>704228900</v>
      </c>
      <c r="AW210" s="1">
        <v>776604506</v>
      </c>
      <c r="AX210" s="1">
        <v>770334231</v>
      </c>
      <c r="AY210" s="1">
        <v>787678104</v>
      </c>
      <c r="AZ210" s="1">
        <v>512989946</v>
      </c>
      <c r="BA210" s="1">
        <v>576323601</v>
      </c>
      <c r="BB210" s="1">
        <v>424907663</v>
      </c>
      <c r="BC210" s="1">
        <v>397559351</v>
      </c>
      <c r="BD210" s="1">
        <v>329704744</v>
      </c>
      <c r="BE210" s="1">
        <v>273613741</v>
      </c>
      <c r="BF210" s="1">
        <v>292924697</v>
      </c>
      <c r="BG210" s="1">
        <v>491592535</v>
      </c>
      <c r="BH210" s="1">
        <v>613510586</v>
      </c>
      <c r="BI210" s="1">
        <v>642509474</v>
      </c>
      <c r="BJ210" s="1">
        <v>604051279</v>
      </c>
      <c r="BK210" s="1">
        <v>581542874</v>
      </c>
      <c r="BL210" s="1">
        <v>402238452</v>
      </c>
      <c r="BM210" s="1">
        <v>531705822</v>
      </c>
      <c r="BN210" s="1">
        <v>395199890</v>
      </c>
      <c r="BO210" s="1">
        <v>357971772</v>
      </c>
      <c r="BP210" s="1">
        <v>322726151</v>
      </c>
      <c r="BQ210" s="1">
        <v>268059744</v>
      </c>
      <c r="BR210" s="1">
        <v>316606965</v>
      </c>
      <c r="BS210" s="1">
        <v>538756054</v>
      </c>
      <c r="BT210" s="1">
        <v>537179262</v>
      </c>
      <c r="BU210" s="1">
        <v>625024897</v>
      </c>
      <c r="BV210" s="1">
        <v>561755825</v>
      </c>
      <c r="BW210" s="1">
        <v>508906689.78000009</v>
      </c>
      <c r="BX210" s="1">
        <v>423793911.56999987</v>
      </c>
      <c r="BY210" s="1">
        <v>506994983.97999984</v>
      </c>
      <c r="BZ210" s="1">
        <v>389768503.92999995</v>
      </c>
      <c r="CA210" s="1">
        <v>351246386.10000008</v>
      </c>
      <c r="CB210" s="1">
        <v>314189958.31999999</v>
      </c>
      <c r="CC210" s="1">
        <v>254179450.31000006</v>
      </c>
      <c r="CD210" s="1">
        <v>313335363.87</v>
      </c>
      <c r="CE210" s="1">
        <v>484908046.79000008</v>
      </c>
      <c r="CF210" s="1">
        <v>519933355.55999982</v>
      </c>
      <c r="CG210" s="1">
        <v>585532070.08999991</v>
      </c>
      <c r="CH210" s="1">
        <v>572811702.14999998</v>
      </c>
      <c r="CI210" s="1">
        <v>533897060.74000007</v>
      </c>
      <c r="CJ210" s="1">
        <v>396532658.05000007</v>
      </c>
      <c r="CK210" s="1">
        <v>612275781.73000014</v>
      </c>
      <c r="CL210" s="1">
        <v>482973588.46999997</v>
      </c>
      <c r="CM210" s="1">
        <v>422860921.68000007</v>
      </c>
      <c r="CN210" s="1">
        <v>359995878.42999995</v>
      </c>
      <c r="CO210" s="1">
        <v>316905379.10000008</v>
      </c>
      <c r="CP210" s="1">
        <v>337095634.90999997</v>
      </c>
      <c r="CQ210" s="1">
        <v>532174051.48999977</v>
      </c>
      <c r="CR210" s="1">
        <v>556515777.93999994</v>
      </c>
      <c r="CS210" s="1">
        <v>654682268.96000016</v>
      </c>
      <c r="CT210" s="1">
        <v>541025504.19999981</v>
      </c>
      <c r="CU210" s="1">
        <v>562512740.92000008</v>
      </c>
      <c r="CV210" s="1">
        <v>412773174.13999999</v>
      </c>
      <c r="CW210" s="1">
        <v>550419004.45000005</v>
      </c>
      <c r="CX210" s="1">
        <v>397727272.72727275</v>
      </c>
      <c r="CY210" s="1">
        <v>409710843.37349397</v>
      </c>
      <c r="CZ210" s="1">
        <v>416019777.50309026</v>
      </c>
      <c r="DA210" s="1">
        <v>351905660.3773585</v>
      </c>
      <c r="DB210" s="1">
        <v>323709090.90909088</v>
      </c>
      <c r="DC210" s="1">
        <v>0</v>
      </c>
      <c r="DD210" s="1">
        <v>0</v>
      </c>
      <c r="DE210" s="1">
        <v>0</v>
      </c>
      <c r="DF210" s="1">
        <v>0</v>
      </c>
      <c r="DH210" s="6">
        <f t="shared" si="87"/>
        <v>33520482561.550304</v>
      </c>
    </row>
    <row r="211" spans="1:112" x14ac:dyDescent="0.2">
      <c r="A211" s="5" t="s">
        <v>29</v>
      </c>
      <c r="B211" s="5" t="s">
        <v>43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>
        <f t="shared" ref="AA211:CL211" si="94">AA209-AA210</f>
        <v>256186796.87</v>
      </c>
      <c r="AB211" s="1">
        <f t="shared" si="94"/>
        <v>272833421.60000002</v>
      </c>
      <c r="AC211" s="1">
        <f t="shared" si="94"/>
        <v>52154693.150000006</v>
      </c>
      <c r="AD211" s="1">
        <f t="shared" si="94"/>
        <v>460859.46999999881</v>
      </c>
      <c r="AE211" s="1">
        <f t="shared" si="94"/>
        <v>899454.27000000328</v>
      </c>
      <c r="AF211" s="1">
        <f t="shared" si="94"/>
        <v>16424224.299999997</v>
      </c>
      <c r="AG211" s="1">
        <f t="shared" si="94"/>
        <v>50725610.110000014</v>
      </c>
      <c r="AH211" s="1">
        <f t="shared" si="94"/>
        <v>169589491.78000003</v>
      </c>
      <c r="AI211" s="1">
        <f t="shared" si="94"/>
        <v>259331436.97000003</v>
      </c>
      <c r="AJ211" s="1">
        <f t="shared" si="94"/>
        <v>282741904.75000012</v>
      </c>
      <c r="AK211" s="1">
        <f t="shared" si="94"/>
        <v>265727990.38</v>
      </c>
      <c r="AL211" s="1">
        <f t="shared" si="94"/>
        <v>236334825.99000001</v>
      </c>
      <c r="AM211" s="1">
        <f t="shared" si="94"/>
        <v>283030019.75</v>
      </c>
      <c r="AN211" s="1">
        <f t="shared" si="94"/>
        <v>238081114.19000006</v>
      </c>
      <c r="AO211" s="1">
        <f t="shared" si="94"/>
        <v>255581751.6500001</v>
      </c>
      <c r="AP211" s="1">
        <f t="shared" si="94"/>
        <v>160849511.44999999</v>
      </c>
      <c r="AQ211" s="1">
        <f t="shared" si="94"/>
        <v>179581084.34000003</v>
      </c>
      <c r="AR211" s="1">
        <f t="shared" si="94"/>
        <v>230569648.97000003</v>
      </c>
      <c r="AS211" s="1">
        <f t="shared" si="94"/>
        <v>167914010.74999994</v>
      </c>
      <c r="AT211" s="1">
        <f t="shared" si="94"/>
        <v>130791475.65999997</v>
      </c>
      <c r="AU211" s="1">
        <f t="shared" si="94"/>
        <v>291475608.12999988</v>
      </c>
      <c r="AV211" s="1">
        <f t="shared" si="94"/>
        <v>395755945.96000004</v>
      </c>
      <c r="AW211" s="1">
        <f t="shared" si="94"/>
        <v>309626908.6099999</v>
      </c>
      <c r="AX211" s="1">
        <f t="shared" si="94"/>
        <v>242922117.83000004</v>
      </c>
      <c r="AY211" s="1">
        <f t="shared" si="94"/>
        <v>322242565.27999997</v>
      </c>
      <c r="AZ211" s="1">
        <f t="shared" si="94"/>
        <v>268010301.25999999</v>
      </c>
      <c r="BA211" s="1">
        <f t="shared" si="94"/>
        <v>286698208.93000007</v>
      </c>
      <c r="BB211" s="1">
        <f t="shared" si="94"/>
        <v>157652657.61999989</v>
      </c>
      <c r="BC211" s="1">
        <f t="shared" si="94"/>
        <v>164016399.31000006</v>
      </c>
      <c r="BD211" s="1">
        <f t="shared" si="94"/>
        <v>160563243.40999997</v>
      </c>
      <c r="BE211" s="1">
        <f t="shared" si="94"/>
        <v>145804572.85000002</v>
      </c>
      <c r="BF211" s="1">
        <f t="shared" si="94"/>
        <v>115733174.64999998</v>
      </c>
      <c r="BG211" s="1">
        <f t="shared" si="94"/>
        <v>269220492.70999992</v>
      </c>
      <c r="BH211" s="1">
        <f t="shared" si="94"/>
        <v>307305806.66000009</v>
      </c>
      <c r="BI211" s="1">
        <f t="shared" si="94"/>
        <v>285769123.56999993</v>
      </c>
      <c r="BJ211" s="1">
        <f t="shared" si="94"/>
        <v>276426908.63000011</v>
      </c>
      <c r="BK211" s="1">
        <f t="shared" si="94"/>
        <v>354982899.5999999</v>
      </c>
      <c r="BL211" s="1">
        <f t="shared" si="94"/>
        <v>257138623.6500001</v>
      </c>
      <c r="BM211" s="1">
        <f t="shared" si="94"/>
        <v>298099537.67999995</v>
      </c>
      <c r="BN211" s="1">
        <f t="shared" si="94"/>
        <v>202823401.37999988</v>
      </c>
      <c r="BO211" s="1">
        <f t="shared" si="94"/>
        <v>169066834.00999993</v>
      </c>
      <c r="BP211" s="1">
        <f t="shared" si="94"/>
        <v>156089958.6500001</v>
      </c>
      <c r="BQ211" s="1">
        <f t="shared" si="94"/>
        <v>140055348.5399999</v>
      </c>
      <c r="BR211" s="1">
        <f t="shared" si="94"/>
        <v>114555581.49000001</v>
      </c>
      <c r="BS211" s="1">
        <f t="shared" si="94"/>
        <v>272496397.53999996</v>
      </c>
      <c r="BT211" s="1">
        <f t="shared" si="94"/>
        <v>278425419.44000006</v>
      </c>
      <c r="BU211" s="1">
        <f t="shared" si="94"/>
        <v>296827762.30999994</v>
      </c>
      <c r="BV211" s="1">
        <f t="shared" si="94"/>
        <v>281632117.56999993</v>
      </c>
      <c r="BW211" s="1">
        <f t="shared" si="94"/>
        <v>274022450.13999999</v>
      </c>
      <c r="BX211" s="1">
        <f t="shared" si="94"/>
        <v>288444026.47000033</v>
      </c>
      <c r="BY211" s="1">
        <f t="shared" si="94"/>
        <v>277413745.39000005</v>
      </c>
      <c r="BZ211" s="1">
        <f t="shared" si="94"/>
        <v>179521573.8900001</v>
      </c>
      <c r="CA211" s="1">
        <f t="shared" si="94"/>
        <v>163810326.86999995</v>
      </c>
      <c r="CB211" s="1">
        <f t="shared" si="94"/>
        <v>167077129.64000005</v>
      </c>
      <c r="CC211" s="1">
        <f t="shared" si="94"/>
        <v>121471556.76999992</v>
      </c>
      <c r="CD211" s="1">
        <f t="shared" si="94"/>
        <v>142172403.39999998</v>
      </c>
      <c r="CE211" s="1">
        <f t="shared" si="94"/>
        <v>279722131.60000002</v>
      </c>
      <c r="CF211" s="1">
        <f t="shared" si="94"/>
        <v>275097486.13000023</v>
      </c>
      <c r="CG211" s="1">
        <f t="shared" si="94"/>
        <v>252363368.91999996</v>
      </c>
      <c r="CH211" s="1">
        <f t="shared" si="94"/>
        <v>248393493.64999998</v>
      </c>
      <c r="CI211" s="1">
        <f t="shared" si="94"/>
        <v>263134128.18999988</v>
      </c>
      <c r="CJ211" s="1">
        <f t="shared" si="94"/>
        <v>207802427.01999998</v>
      </c>
      <c r="CK211" s="1">
        <f t="shared" si="94"/>
        <v>248279902.52999985</v>
      </c>
      <c r="CL211" s="1">
        <f t="shared" si="94"/>
        <v>135760329.04000002</v>
      </c>
      <c r="CM211" s="1">
        <f t="shared" ref="CM211:DF211" si="95">CM209-CM210</f>
        <v>153925021.92999983</v>
      </c>
      <c r="CN211" s="1">
        <f t="shared" si="95"/>
        <v>136651473.9600001</v>
      </c>
      <c r="CO211" s="1">
        <f t="shared" si="95"/>
        <v>102472319.21999991</v>
      </c>
      <c r="CP211" s="1">
        <f t="shared" si="95"/>
        <v>117993030.79999995</v>
      </c>
      <c r="CQ211" s="1">
        <f t="shared" si="95"/>
        <v>258919906.0600003</v>
      </c>
      <c r="CR211" s="1">
        <f t="shared" si="95"/>
        <v>241528710.91000009</v>
      </c>
      <c r="CS211" s="1">
        <f t="shared" si="95"/>
        <v>253436796.51999986</v>
      </c>
      <c r="CT211" s="1">
        <f t="shared" si="95"/>
        <v>205659761.9200002</v>
      </c>
      <c r="CU211" s="1">
        <f t="shared" si="95"/>
        <v>232693689.01999986</v>
      </c>
      <c r="CV211" s="1">
        <f t="shared" si="95"/>
        <v>166834708.00999999</v>
      </c>
      <c r="CW211" s="1">
        <f t="shared" si="95"/>
        <v>212559416.9799999</v>
      </c>
      <c r="CX211" s="1">
        <f t="shared" si="95"/>
        <v>127335277.94272733</v>
      </c>
      <c r="CY211" s="1">
        <f t="shared" si="95"/>
        <v>136003820.21650594</v>
      </c>
      <c r="CZ211" s="1">
        <f t="shared" si="95"/>
        <v>162532547.31690967</v>
      </c>
      <c r="DA211" s="1">
        <f t="shared" si="95"/>
        <v>132329033.50019252</v>
      </c>
      <c r="DB211" s="1">
        <f t="shared" si="95"/>
        <v>79335463.546354711</v>
      </c>
      <c r="DC211" s="1">
        <f t="shared" si="95"/>
        <v>0</v>
      </c>
      <c r="DD211" s="1">
        <f t="shared" si="95"/>
        <v>0</v>
      </c>
      <c r="DE211" s="1">
        <f t="shared" si="95"/>
        <v>0</v>
      </c>
      <c r="DF211" s="1">
        <f t="shared" si="95"/>
        <v>0</v>
      </c>
      <c r="DH211" s="6">
        <f t="shared" si="87"/>
        <v>16575924701.172691</v>
      </c>
    </row>
    <row r="212" spans="1:112" x14ac:dyDescent="0.2">
      <c r="A212" s="5" t="s">
        <v>29</v>
      </c>
      <c r="B212" s="5" t="s">
        <v>5</v>
      </c>
      <c r="C212" s="1"/>
      <c r="D212" s="1"/>
      <c r="E212" s="1"/>
      <c r="F212" s="1"/>
      <c r="G212" s="1"/>
      <c r="H212" s="1">
        <v>20245879.399999999</v>
      </c>
      <c r="I212" s="1">
        <v>4138860.9699999997</v>
      </c>
      <c r="J212" s="1">
        <v>12598282.440000001</v>
      </c>
      <c r="K212" s="1">
        <v>56366141.970000006</v>
      </c>
      <c r="L212" s="1">
        <v>29617229.630000003</v>
      </c>
      <c r="M212" s="1">
        <v>27133731.540000003</v>
      </c>
      <c r="N212" s="1">
        <v>44106006.470000006</v>
      </c>
      <c r="O212" s="1">
        <v>14816867.109999999</v>
      </c>
      <c r="P212" s="1">
        <v>35815727.040000007</v>
      </c>
      <c r="Q212" s="1">
        <v>32525215.009999998</v>
      </c>
      <c r="R212" s="1">
        <v>21562051.280000001</v>
      </c>
      <c r="S212" s="1">
        <v>11272155.35</v>
      </c>
      <c r="T212" s="1">
        <v>16581933.390000001</v>
      </c>
      <c r="U212" s="1">
        <v>10533813.17</v>
      </c>
      <c r="V212" s="1">
        <v>18733001.240000002</v>
      </c>
      <c r="W212" s="1">
        <v>52069008.859999999</v>
      </c>
      <c r="X212" s="1">
        <v>47887972.840000004</v>
      </c>
      <c r="Y212" s="1">
        <v>31014279.940000001</v>
      </c>
      <c r="Z212" s="1">
        <v>36326745.810000002</v>
      </c>
      <c r="AA212" s="1">
        <v>20152276.77</v>
      </c>
      <c r="AB212" s="1">
        <v>38061876.769999996</v>
      </c>
      <c r="AC212" s="1">
        <v>1454314.42</v>
      </c>
      <c r="AD212" s="1">
        <v>213834.03000000003</v>
      </c>
      <c r="AE212" s="1">
        <v>2454615.27</v>
      </c>
      <c r="AF212" s="1">
        <v>-482874.58999999985</v>
      </c>
      <c r="AG212" s="1">
        <v>6296263.8799999999</v>
      </c>
      <c r="AH212" s="1">
        <v>16986256.43</v>
      </c>
      <c r="AI212" s="1">
        <v>32927329.850000005</v>
      </c>
      <c r="AJ212" s="1">
        <v>42387778.969999999</v>
      </c>
      <c r="AK212" s="1">
        <v>61806538.010000005</v>
      </c>
      <c r="AL212" s="1">
        <v>40572693.799999997</v>
      </c>
      <c r="AM212" s="1">
        <v>52381029.089999996</v>
      </c>
      <c r="AN212" s="1">
        <v>31846081.619999997</v>
      </c>
      <c r="AO212" s="1">
        <v>39344118.340000004</v>
      </c>
      <c r="AP212" s="1">
        <v>27239228.090000004</v>
      </c>
      <c r="AQ212" s="1">
        <v>27079187.369999997</v>
      </c>
      <c r="AR212" s="1">
        <v>29184816.34</v>
      </c>
      <c r="AS212" s="1">
        <v>33279305.140000001</v>
      </c>
      <c r="AT212" s="1">
        <v>14344695.449999999</v>
      </c>
      <c r="AU212" s="1">
        <v>54251869.240000002</v>
      </c>
      <c r="AV212" s="1">
        <v>48302629.510000005</v>
      </c>
      <c r="AW212" s="1">
        <v>71980656.899999991</v>
      </c>
      <c r="AX212" s="1">
        <v>15959037.230000004</v>
      </c>
      <c r="AY212" s="1">
        <v>49993261.359999999</v>
      </c>
      <c r="AZ212" s="1">
        <v>31018999.340000004</v>
      </c>
      <c r="BA212" s="1">
        <v>36934929.660000004</v>
      </c>
      <c r="BB212" s="1">
        <v>25366986.270000003</v>
      </c>
      <c r="BC212" s="1">
        <v>26997216.939999998</v>
      </c>
      <c r="BD212" s="1">
        <v>23831111.329999998</v>
      </c>
      <c r="BE212" s="1">
        <v>16217740.27</v>
      </c>
      <c r="BF212" s="1">
        <v>16067430.98</v>
      </c>
      <c r="BG212" s="1">
        <v>70628179.290000007</v>
      </c>
      <c r="BH212" s="1">
        <v>56861819.310000002</v>
      </c>
      <c r="BI212" s="1">
        <v>37670404.389999993</v>
      </c>
      <c r="BJ212" s="1">
        <v>55223121.07</v>
      </c>
      <c r="BK212" s="1">
        <v>50434089.850000001</v>
      </c>
      <c r="BL212" s="1">
        <v>41272709.079999998</v>
      </c>
      <c r="BM212" s="1">
        <v>43850287.629999995</v>
      </c>
      <c r="BN212" s="1">
        <v>32412311.480000004</v>
      </c>
      <c r="BO212" s="1">
        <v>30074815.950000003</v>
      </c>
      <c r="BP212" s="1">
        <v>9532270.4499999993</v>
      </c>
      <c r="BQ212" s="1">
        <v>25251770.950000003</v>
      </c>
      <c r="BR212" s="1">
        <v>18022078.350000001</v>
      </c>
      <c r="BS212" s="1">
        <v>62296513.359999992</v>
      </c>
      <c r="BT212" s="1">
        <v>68109004.140000001</v>
      </c>
      <c r="BU212" s="1">
        <v>40991658.340000004</v>
      </c>
      <c r="BV212" s="1">
        <v>59015282.069999993</v>
      </c>
      <c r="BW212" s="1">
        <v>64739293.5</v>
      </c>
      <c r="BX212" s="1">
        <v>47906842.640000001</v>
      </c>
      <c r="BY212" s="1">
        <v>29761355.5</v>
      </c>
      <c r="BZ212" s="1">
        <v>30790411.629999995</v>
      </c>
      <c r="CA212" s="1">
        <v>36028668.759999998</v>
      </c>
      <c r="CB212" s="1">
        <v>29788377.469999999</v>
      </c>
      <c r="CC212" s="1">
        <v>25786778.240000002</v>
      </c>
      <c r="CD212" s="1">
        <v>25017056.300000001</v>
      </c>
      <c r="CE212" s="1">
        <v>80856590.25</v>
      </c>
      <c r="CF212" s="1">
        <v>28929547.43</v>
      </c>
      <c r="CG212" s="1">
        <v>67529246</v>
      </c>
      <c r="CH212" s="1">
        <v>14954234.850000001</v>
      </c>
      <c r="CI212" s="1">
        <v>72593764.75</v>
      </c>
      <c r="CJ212" s="1">
        <v>41297731.100000001</v>
      </c>
      <c r="CK212" s="1">
        <v>22210961.98</v>
      </c>
      <c r="CL212" s="1">
        <v>42572432.410000004</v>
      </c>
      <c r="CM212" s="1">
        <v>46749732.909999996</v>
      </c>
      <c r="CN212" s="1">
        <v>42047756.530000001</v>
      </c>
      <c r="CO212" s="1">
        <v>37719006.299999997</v>
      </c>
      <c r="CP212" s="1">
        <v>42033939.969999999</v>
      </c>
      <c r="CQ212" s="1">
        <v>54305454.060000002</v>
      </c>
      <c r="CR212" s="1">
        <v>59302889.509999998</v>
      </c>
      <c r="CS212" s="1">
        <v>72862850.689999983</v>
      </c>
      <c r="CT212" s="1">
        <v>67573758.929999992</v>
      </c>
      <c r="CU212" s="1">
        <v>64505120.769999996</v>
      </c>
      <c r="CV212" s="1">
        <v>35369053.740000002</v>
      </c>
      <c r="CW212" s="1">
        <v>45982847.530000001</v>
      </c>
      <c r="CX212" s="1">
        <v>43679852.890000001</v>
      </c>
      <c r="CY212" s="1">
        <v>38702591.729999997</v>
      </c>
      <c r="CZ212" s="1">
        <v>50464036.909999996</v>
      </c>
      <c r="DA212" s="1">
        <v>37964000</v>
      </c>
      <c r="DB212" s="1">
        <v>32566000</v>
      </c>
      <c r="DC212" s="1">
        <v>0</v>
      </c>
      <c r="DD212" s="1">
        <v>0</v>
      </c>
      <c r="DE212" s="1">
        <v>0</v>
      </c>
      <c r="DF212" s="1">
        <v>0</v>
      </c>
      <c r="DH212" s="6">
        <f t="shared" si="87"/>
        <v>3592034638.5299993</v>
      </c>
    </row>
    <row r="213" spans="1:112" x14ac:dyDescent="0.2">
      <c r="A213" s="5" t="s">
        <v>29</v>
      </c>
      <c r="B213" s="5" t="s">
        <v>44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>
        <v>11235206</v>
      </c>
      <c r="AB213" s="1">
        <v>9929875</v>
      </c>
      <c r="AC213" s="1">
        <v>3815196</v>
      </c>
      <c r="AD213" s="1">
        <v>396412</v>
      </c>
      <c r="AE213" s="1">
        <v>2256679</v>
      </c>
      <c r="AF213" s="1">
        <v>2297045</v>
      </c>
      <c r="AG213" s="1">
        <v>5802623</v>
      </c>
      <c r="AH213" s="1">
        <v>10988775</v>
      </c>
      <c r="AI213" s="1">
        <v>11023707</v>
      </c>
      <c r="AJ213" s="1">
        <v>13603515</v>
      </c>
      <c r="AK213" s="1">
        <v>23525870</v>
      </c>
      <c r="AL213" s="1">
        <v>22750876</v>
      </c>
      <c r="AM213" s="1">
        <v>23129701</v>
      </c>
      <c r="AN213" s="1">
        <v>10218181</v>
      </c>
      <c r="AO213" s="1">
        <v>21489751</v>
      </c>
      <c r="AP213" s="1">
        <v>17884618</v>
      </c>
      <c r="AQ213" s="1">
        <v>13284973</v>
      </c>
      <c r="AR213" s="1">
        <v>14740718</v>
      </c>
      <c r="AS213" s="1">
        <v>13646372</v>
      </c>
      <c r="AT213" s="1">
        <v>8687423</v>
      </c>
      <c r="AU213" s="1">
        <v>16740240</v>
      </c>
      <c r="AV213" s="1">
        <v>16890314</v>
      </c>
      <c r="AW213" s="1">
        <v>34972844</v>
      </c>
      <c r="AX213" s="1">
        <v>2601030</v>
      </c>
      <c r="AY213" s="1">
        <v>15184928</v>
      </c>
      <c r="AZ213" s="1">
        <v>9068594</v>
      </c>
      <c r="BA213" s="1">
        <v>19086778</v>
      </c>
      <c r="BB213" s="1">
        <v>10520157</v>
      </c>
      <c r="BC213" s="1">
        <v>16427799</v>
      </c>
      <c r="BD213" s="1">
        <v>15097123</v>
      </c>
      <c r="BE213" s="1">
        <v>14507040</v>
      </c>
      <c r="BF213" s="1">
        <v>9971092</v>
      </c>
      <c r="BG213" s="1">
        <v>27748309</v>
      </c>
      <c r="BH213" s="1">
        <v>27393564</v>
      </c>
      <c r="BI213" s="1">
        <v>20149119</v>
      </c>
      <c r="BJ213" s="1">
        <v>18092239</v>
      </c>
      <c r="BK213" s="1">
        <v>17739163</v>
      </c>
      <c r="BL213" s="1">
        <v>16614191</v>
      </c>
      <c r="BM213" s="1">
        <v>25583996</v>
      </c>
      <c r="BN213" s="1">
        <v>18574223</v>
      </c>
      <c r="BO213" s="1">
        <v>17476533</v>
      </c>
      <c r="BP213" s="1">
        <v>4866740</v>
      </c>
      <c r="BQ213" s="1">
        <v>13809849</v>
      </c>
      <c r="BR213" s="1">
        <v>13129525</v>
      </c>
      <c r="BS213" s="1">
        <v>28956024</v>
      </c>
      <c r="BT213" s="1">
        <v>35060303</v>
      </c>
      <c r="BU213" s="1">
        <v>21237012</v>
      </c>
      <c r="BV213" s="1">
        <v>27607365</v>
      </c>
      <c r="BW213" s="1">
        <v>30103522.760000002</v>
      </c>
      <c r="BX213" s="1">
        <v>23753911.830000006</v>
      </c>
      <c r="BY213" s="1">
        <v>26009545.819999997</v>
      </c>
      <c r="BZ213" s="1">
        <v>24530877.749999996</v>
      </c>
      <c r="CA213" s="1">
        <v>23019489.220000006</v>
      </c>
      <c r="CB213" s="1">
        <v>16760099.600000003</v>
      </c>
      <c r="CC213" s="1">
        <v>19081074.179999992</v>
      </c>
      <c r="CD213" s="1">
        <v>14837117.829999996</v>
      </c>
      <c r="CE213" s="1">
        <v>35975277.030000001</v>
      </c>
      <c r="CF213" s="1">
        <v>18792345.95999999</v>
      </c>
      <c r="CG213" s="1">
        <v>40474756.649999991</v>
      </c>
      <c r="CH213" s="1">
        <v>12532496.629999999</v>
      </c>
      <c r="CI213" s="1">
        <v>42729337.269999988</v>
      </c>
      <c r="CJ213" s="1">
        <v>22930503.159999985</v>
      </c>
      <c r="CK213" s="1">
        <v>15564755.57</v>
      </c>
      <c r="CL213" s="1">
        <v>33190276.789999995</v>
      </c>
      <c r="CM213" s="1">
        <v>31407232.939999998</v>
      </c>
      <c r="CN213" s="1">
        <v>29865990.550000001</v>
      </c>
      <c r="CO213" s="1">
        <v>30318380.609999999</v>
      </c>
      <c r="CP213" s="1">
        <v>29382127.500000004</v>
      </c>
      <c r="CQ213" s="1">
        <v>32598341.289999995</v>
      </c>
      <c r="CR213" s="1">
        <v>42939964.560000002</v>
      </c>
      <c r="CS213" s="1">
        <v>46971247.849999994</v>
      </c>
      <c r="CT213" s="1">
        <v>42580235.599999972</v>
      </c>
      <c r="CU213" s="1">
        <v>39251631.840000004</v>
      </c>
      <c r="CV213" s="1">
        <v>29549734.060000002</v>
      </c>
      <c r="CW213" s="1">
        <v>36667816.299999997</v>
      </c>
      <c r="CX213" s="1">
        <v>35000000</v>
      </c>
      <c r="CY213" s="1">
        <v>34006000</v>
      </c>
      <c r="CZ213" s="1">
        <v>33656000</v>
      </c>
      <c r="DA213" s="1">
        <v>37302000</v>
      </c>
      <c r="DB213" s="1">
        <v>26706000</v>
      </c>
      <c r="DC213" s="1">
        <v>0</v>
      </c>
      <c r="DD213" s="1">
        <v>0</v>
      </c>
      <c r="DE213" s="1">
        <v>0</v>
      </c>
      <c r="DF213" s="1">
        <v>0</v>
      </c>
      <c r="DH213" s="6">
        <f t="shared" si="87"/>
        <v>1714301701.1499996</v>
      </c>
    </row>
    <row r="214" spans="1:112" x14ac:dyDescent="0.2">
      <c r="A214" s="5" t="s">
        <v>29</v>
      </c>
      <c r="B214" s="5" t="s">
        <v>45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>
        <f t="shared" ref="AA214:CL214" si="96">AA212-AA213</f>
        <v>8917070.7699999996</v>
      </c>
      <c r="AB214" s="1">
        <f t="shared" si="96"/>
        <v>28132001.769999996</v>
      </c>
      <c r="AC214" s="1">
        <f t="shared" si="96"/>
        <v>-2360881.58</v>
      </c>
      <c r="AD214" s="1">
        <f t="shared" si="96"/>
        <v>-182577.96999999997</v>
      </c>
      <c r="AE214" s="1">
        <f t="shared" si="96"/>
        <v>197936.27000000002</v>
      </c>
      <c r="AF214" s="1">
        <f t="shared" si="96"/>
        <v>-2779919.59</v>
      </c>
      <c r="AG214" s="1">
        <f t="shared" si="96"/>
        <v>493640.87999999989</v>
      </c>
      <c r="AH214" s="1">
        <f t="shared" si="96"/>
        <v>5997481.4299999997</v>
      </c>
      <c r="AI214" s="1">
        <f t="shared" si="96"/>
        <v>21903622.850000005</v>
      </c>
      <c r="AJ214" s="1">
        <f t="shared" si="96"/>
        <v>28784263.969999999</v>
      </c>
      <c r="AK214" s="1">
        <f t="shared" si="96"/>
        <v>38280668.010000005</v>
      </c>
      <c r="AL214" s="1">
        <f t="shared" si="96"/>
        <v>17821817.799999997</v>
      </c>
      <c r="AM214" s="1">
        <f t="shared" si="96"/>
        <v>29251328.089999996</v>
      </c>
      <c r="AN214" s="1">
        <f t="shared" si="96"/>
        <v>21627900.619999997</v>
      </c>
      <c r="AO214" s="1">
        <f t="shared" si="96"/>
        <v>17854367.340000004</v>
      </c>
      <c r="AP214" s="1">
        <f t="shared" si="96"/>
        <v>9354610.0900000036</v>
      </c>
      <c r="AQ214" s="1">
        <f t="shared" si="96"/>
        <v>13794214.369999997</v>
      </c>
      <c r="AR214" s="1">
        <f t="shared" si="96"/>
        <v>14444098.34</v>
      </c>
      <c r="AS214" s="1">
        <f t="shared" si="96"/>
        <v>19632933.140000001</v>
      </c>
      <c r="AT214" s="1">
        <f t="shared" si="96"/>
        <v>5657272.4499999993</v>
      </c>
      <c r="AU214" s="1">
        <f t="shared" si="96"/>
        <v>37511629.240000002</v>
      </c>
      <c r="AV214" s="1">
        <f t="shared" si="96"/>
        <v>31412315.510000005</v>
      </c>
      <c r="AW214" s="1">
        <f t="shared" si="96"/>
        <v>37007812.899999991</v>
      </c>
      <c r="AX214" s="1">
        <f t="shared" si="96"/>
        <v>13358007.230000004</v>
      </c>
      <c r="AY214" s="1">
        <f t="shared" si="96"/>
        <v>34808333.359999999</v>
      </c>
      <c r="AZ214" s="1">
        <f t="shared" si="96"/>
        <v>21950405.340000004</v>
      </c>
      <c r="BA214" s="1">
        <f t="shared" si="96"/>
        <v>17848151.660000004</v>
      </c>
      <c r="BB214" s="1">
        <f t="shared" si="96"/>
        <v>14846829.270000003</v>
      </c>
      <c r="BC214" s="1">
        <f t="shared" si="96"/>
        <v>10569417.939999998</v>
      </c>
      <c r="BD214" s="1">
        <f t="shared" si="96"/>
        <v>8733988.3299999982</v>
      </c>
      <c r="BE214" s="1">
        <f t="shared" si="96"/>
        <v>1710700.2699999996</v>
      </c>
      <c r="BF214" s="1">
        <f t="shared" si="96"/>
        <v>6096338.9800000004</v>
      </c>
      <c r="BG214" s="1">
        <f t="shared" si="96"/>
        <v>42879870.290000007</v>
      </c>
      <c r="BH214" s="1">
        <f t="shared" si="96"/>
        <v>29468255.310000002</v>
      </c>
      <c r="BI214" s="1">
        <f t="shared" si="96"/>
        <v>17521285.389999993</v>
      </c>
      <c r="BJ214" s="1">
        <f t="shared" si="96"/>
        <v>37130882.07</v>
      </c>
      <c r="BK214" s="1">
        <f t="shared" si="96"/>
        <v>32694926.850000001</v>
      </c>
      <c r="BL214" s="1">
        <f t="shared" si="96"/>
        <v>24658518.079999998</v>
      </c>
      <c r="BM214" s="1">
        <f t="shared" si="96"/>
        <v>18266291.629999995</v>
      </c>
      <c r="BN214" s="1">
        <f t="shared" si="96"/>
        <v>13838088.480000004</v>
      </c>
      <c r="BO214" s="1">
        <f t="shared" si="96"/>
        <v>12598282.950000003</v>
      </c>
      <c r="BP214" s="1">
        <f t="shared" si="96"/>
        <v>4665530.4499999993</v>
      </c>
      <c r="BQ214" s="1">
        <f t="shared" si="96"/>
        <v>11441921.950000003</v>
      </c>
      <c r="BR214" s="1">
        <f t="shared" si="96"/>
        <v>4892553.3500000015</v>
      </c>
      <c r="BS214" s="1">
        <f t="shared" si="96"/>
        <v>33340489.359999992</v>
      </c>
      <c r="BT214" s="1">
        <f t="shared" si="96"/>
        <v>33048701.140000001</v>
      </c>
      <c r="BU214" s="1">
        <f t="shared" si="96"/>
        <v>19754646.340000004</v>
      </c>
      <c r="BV214" s="1">
        <f t="shared" si="96"/>
        <v>31407917.069999993</v>
      </c>
      <c r="BW214" s="1">
        <f t="shared" si="96"/>
        <v>34635770.739999995</v>
      </c>
      <c r="BX214" s="1">
        <f t="shared" si="96"/>
        <v>24152930.809999995</v>
      </c>
      <c r="BY214" s="1">
        <f t="shared" si="96"/>
        <v>3751809.6800000034</v>
      </c>
      <c r="BZ214" s="1">
        <f t="shared" si="96"/>
        <v>6259533.879999999</v>
      </c>
      <c r="CA214" s="1">
        <f t="shared" si="96"/>
        <v>13009179.539999992</v>
      </c>
      <c r="CB214" s="1">
        <f t="shared" si="96"/>
        <v>13028277.869999995</v>
      </c>
      <c r="CC214" s="1">
        <f t="shared" si="96"/>
        <v>6705704.0600000098</v>
      </c>
      <c r="CD214" s="1">
        <f t="shared" si="96"/>
        <v>10179938.470000004</v>
      </c>
      <c r="CE214" s="1">
        <f t="shared" si="96"/>
        <v>44881313.219999999</v>
      </c>
      <c r="CF214" s="1">
        <f t="shared" si="96"/>
        <v>10137201.47000001</v>
      </c>
      <c r="CG214" s="1">
        <f t="shared" si="96"/>
        <v>27054489.350000009</v>
      </c>
      <c r="CH214" s="1">
        <f t="shared" si="96"/>
        <v>2421738.2200000025</v>
      </c>
      <c r="CI214" s="1">
        <f t="shared" si="96"/>
        <v>29864427.480000012</v>
      </c>
      <c r="CJ214" s="1">
        <f t="shared" si="96"/>
        <v>18367227.940000016</v>
      </c>
      <c r="CK214" s="1">
        <f t="shared" si="96"/>
        <v>6646206.4100000001</v>
      </c>
      <c r="CL214" s="1">
        <f t="shared" si="96"/>
        <v>9382155.6200000085</v>
      </c>
      <c r="CM214" s="1">
        <f t="shared" ref="CM214:DF214" si="97">CM212-CM213</f>
        <v>15342499.969999999</v>
      </c>
      <c r="CN214" s="1">
        <f t="shared" si="97"/>
        <v>12181765.98</v>
      </c>
      <c r="CO214" s="1">
        <f t="shared" si="97"/>
        <v>7400625.6899999976</v>
      </c>
      <c r="CP214" s="1">
        <f t="shared" si="97"/>
        <v>12651812.469999995</v>
      </c>
      <c r="CQ214" s="1">
        <f t="shared" si="97"/>
        <v>21707112.770000007</v>
      </c>
      <c r="CR214" s="1">
        <f t="shared" si="97"/>
        <v>16362924.949999996</v>
      </c>
      <c r="CS214" s="1">
        <f t="shared" si="97"/>
        <v>25891602.839999989</v>
      </c>
      <c r="CT214" s="1">
        <f t="shared" si="97"/>
        <v>24993523.330000021</v>
      </c>
      <c r="CU214" s="1">
        <f t="shared" si="97"/>
        <v>25253488.929999992</v>
      </c>
      <c r="CV214" s="1">
        <f t="shared" si="97"/>
        <v>5819319.6799999997</v>
      </c>
      <c r="CW214" s="1">
        <f t="shared" si="97"/>
        <v>9315031.2300000042</v>
      </c>
      <c r="CX214" s="1">
        <f t="shared" si="97"/>
        <v>8679852.8900000006</v>
      </c>
      <c r="CY214" s="1">
        <f t="shared" si="97"/>
        <v>4696591.7299999967</v>
      </c>
      <c r="CZ214" s="1">
        <f t="shared" si="97"/>
        <v>16808036.909999996</v>
      </c>
      <c r="DA214" s="1">
        <f t="shared" si="97"/>
        <v>662000</v>
      </c>
      <c r="DB214" s="1">
        <f t="shared" si="97"/>
        <v>5860000</v>
      </c>
      <c r="DC214" s="1">
        <f t="shared" si="97"/>
        <v>0</v>
      </c>
      <c r="DD214" s="1">
        <f t="shared" si="97"/>
        <v>0</v>
      </c>
      <c r="DE214" s="1">
        <f t="shared" si="97"/>
        <v>0</v>
      </c>
      <c r="DF214" s="1">
        <f t="shared" si="97"/>
        <v>0</v>
      </c>
      <c r="DH214" s="6">
        <f t="shared" si="87"/>
        <v>1354388033.920001</v>
      </c>
    </row>
    <row r="215" spans="1:112" x14ac:dyDescent="0.2">
      <c r="A215" s="5" t="s">
        <v>29</v>
      </c>
      <c r="B215" s="5" t="s">
        <v>6</v>
      </c>
      <c r="C215" s="1"/>
      <c r="D215" s="1"/>
      <c r="E215" s="1"/>
      <c r="F215" s="1"/>
      <c r="G215" s="1"/>
      <c r="H215" s="1">
        <v>20245879.399999999</v>
      </c>
      <c r="I215" s="1">
        <v>4138860.9699999997</v>
      </c>
      <c r="J215" s="1">
        <v>12598282.440000001</v>
      </c>
      <c r="K215" s="1">
        <v>56366141.970000006</v>
      </c>
      <c r="L215" s="1">
        <v>29617229.630000003</v>
      </c>
      <c r="M215" s="1">
        <v>27133731.540000003</v>
      </c>
      <c r="N215" s="1">
        <v>44106006.470000006</v>
      </c>
      <c r="O215" s="1">
        <v>14816867.109999999</v>
      </c>
      <c r="P215" s="1">
        <v>35815727.040000007</v>
      </c>
      <c r="Q215" s="1">
        <v>32525215.009999998</v>
      </c>
      <c r="R215" s="1">
        <v>21562051.280000001</v>
      </c>
      <c r="S215" s="1">
        <v>11272155.35</v>
      </c>
      <c r="T215" s="1">
        <v>16581933.390000001</v>
      </c>
      <c r="U215" s="1">
        <v>10533813.17</v>
      </c>
      <c r="V215" s="1">
        <v>18733001.240000002</v>
      </c>
      <c r="W215" s="1">
        <v>52069008.859999999</v>
      </c>
      <c r="X215" s="1">
        <v>47887972.840000004</v>
      </c>
      <c r="Y215" s="1">
        <v>31014279.940000001</v>
      </c>
      <c r="Z215" s="1">
        <v>36326745.810000002</v>
      </c>
      <c r="AA215" s="1">
        <v>20152276.77</v>
      </c>
      <c r="AB215" s="1">
        <v>38061876.769999996</v>
      </c>
      <c r="AC215" s="1">
        <v>1454314.42</v>
      </c>
      <c r="AD215" s="1">
        <v>213834.03000000003</v>
      </c>
      <c r="AE215" s="1">
        <v>2454615.27</v>
      </c>
      <c r="AF215" s="1">
        <v>-482874.58999999985</v>
      </c>
      <c r="AG215" s="1">
        <v>6296263.8799999999</v>
      </c>
      <c r="AH215" s="1">
        <v>16986256.43</v>
      </c>
      <c r="AI215" s="1">
        <v>32927329.850000005</v>
      </c>
      <c r="AJ215" s="1">
        <v>42387778.969999999</v>
      </c>
      <c r="AK215" s="1">
        <v>61806538.010000005</v>
      </c>
      <c r="AL215" s="1">
        <v>40572693.799999997</v>
      </c>
      <c r="AM215" s="1">
        <v>52381029.089999996</v>
      </c>
      <c r="AN215" s="1">
        <v>31846081.619999997</v>
      </c>
      <c r="AO215" s="1">
        <v>39344118.340000004</v>
      </c>
      <c r="AP215" s="1">
        <v>27239228.090000004</v>
      </c>
      <c r="AQ215" s="1">
        <v>27079187.369999997</v>
      </c>
      <c r="AR215" s="1">
        <v>29184816.34</v>
      </c>
      <c r="AS215" s="1">
        <v>33279305.140000001</v>
      </c>
      <c r="AT215" s="1">
        <v>14344695.449999999</v>
      </c>
      <c r="AU215" s="1">
        <v>54251869.240000002</v>
      </c>
      <c r="AV215" s="1">
        <v>48302629.510000005</v>
      </c>
      <c r="AW215" s="1">
        <v>71980656.899999991</v>
      </c>
      <c r="AX215" s="1">
        <v>15959037.230000004</v>
      </c>
      <c r="AY215" s="1">
        <v>49993261.359999999</v>
      </c>
      <c r="AZ215" s="1">
        <v>31018999.340000004</v>
      </c>
      <c r="BA215" s="1">
        <v>36934929.660000004</v>
      </c>
      <c r="BB215" s="1">
        <v>25366986.270000003</v>
      </c>
      <c r="BC215" s="1">
        <v>26997216.939999998</v>
      </c>
      <c r="BD215" s="1">
        <v>23831111.329999998</v>
      </c>
      <c r="BE215" s="1">
        <v>16217740.27</v>
      </c>
      <c r="BF215" s="1">
        <v>16067430.98</v>
      </c>
      <c r="BG215" s="1">
        <v>70628179.290000007</v>
      </c>
      <c r="BH215" s="1">
        <v>56861819.310000002</v>
      </c>
      <c r="BI215" s="1">
        <v>37670404.389999993</v>
      </c>
      <c r="BJ215" s="1">
        <v>55223121.07</v>
      </c>
      <c r="BK215" s="1">
        <v>50434089.850000001</v>
      </c>
      <c r="BL215" s="1">
        <v>41272709.079999998</v>
      </c>
      <c r="BM215" s="1">
        <v>43850287.629999995</v>
      </c>
      <c r="BN215" s="1">
        <v>32412311.480000004</v>
      </c>
      <c r="BO215" s="1">
        <v>30074815.950000003</v>
      </c>
      <c r="BP215" s="1">
        <v>9532270.4499999993</v>
      </c>
      <c r="BQ215" s="1">
        <v>25251770.950000003</v>
      </c>
      <c r="BR215" s="1">
        <v>18022078.350000001</v>
      </c>
      <c r="BS215" s="1">
        <v>62296513.359999992</v>
      </c>
      <c r="BT215" s="1">
        <v>68109004.140000001</v>
      </c>
      <c r="BU215" s="1">
        <v>40991658.340000004</v>
      </c>
      <c r="BV215" s="1">
        <v>59015282.069999993</v>
      </c>
      <c r="BW215" s="1">
        <v>64739293.5</v>
      </c>
      <c r="BX215" s="1">
        <v>47906842.640000001</v>
      </c>
      <c r="BY215" s="1">
        <v>29761355.5</v>
      </c>
      <c r="BZ215" s="1">
        <v>30790411.629999995</v>
      </c>
      <c r="CA215" s="1">
        <v>36028668.759999998</v>
      </c>
      <c r="CB215" s="1">
        <v>29788377.469999999</v>
      </c>
      <c r="CC215" s="1">
        <v>25786778.240000002</v>
      </c>
      <c r="CD215" s="1">
        <v>25017056.300000001</v>
      </c>
      <c r="CE215" s="1">
        <v>80856590.25</v>
      </c>
      <c r="CF215" s="1">
        <v>28929547.43</v>
      </c>
      <c r="CG215" s="1">
        <v>67529246</v>
      </c>
      <c r="CH215" s="1">
        <v>14954234.850000001</v>
      </c>
      <c r="CI215" s="1">
        <v>72593764.75</v>
      </c>
      <c r="CJ215" s="1">
        <v>41297731.100000001</v>
      </c>
      <c r="CK215" s="1">
        <v>22210961.98</v>
      </c>
      <c r="CL215" s="1">
        <v>42572432.410000004</v>
      </c>
      <c r="CM215" s="1">
        <v>46749732.909999996</v>
      </c>
      <c r="CN215" s="1">
        <v>42047756.530000001</v>
      </c>
      <c r="CO215" s="1">
        <v>37719006.299999997</v>
      </c>
      <c r="CP215" s="1">
        <v>42033939.969999999</v>
      </c>
      <c r="CQ215" s="1">
        <v>54305454.060000002</v>
      </c>
      <c r="CR215" s="1">
        <v>59302889.509999998</v>
      </c>
      <c r="CS215" s="1">
        <v>72862850.689999983</v>
      </c>
      <c r="CT215" s="1">
        <v>67573758.929999992</v>
      </c>
      <c r="CU215" s="1">
        <v>64505120.769999996</v>
      </c>
      <c r="CV215" s="1">
        <v>35369053.740000002</v>
      </c>
      <c r="CW215" s="1">
        <v>45982847.530000001</v>
      </c>
      <c r="CX215" s="1">
        <v>43679852.890000001</v>
      </c>
      <c r="CY215" s="1">
        <v>38702591.729999997</v>
      </c>
      <c r="CZ215" s="1">
        <v>50464036.909999996</v>
      </c>
      <c r="DA215" s="1">
        <v>37964000</v>
      </c>
      <c r="DB215" s="1">
        <v>32566000</v>
      </c>
      <c r="DC215" s="1">
        <v>0</v>
      </c>
      <c r="DD215" s="1">
        <v>0</v>
      </c>
      <c r="DE215" s="1">
        <v>0</v>
      </c>
      <c r="DF215" s="1">
        <v>0</v>
      </c>
      <c r="DH215" s="6">
        <f t="shared" si="87"/>
        <v>3592034638.5299993</v>
      </c>
    </row>
    <row r="216" spans="1:112" x14ac:dyDescent="0.2">
      <c r="A216" s="5" t="s">
        <v>29</v>
      </c>
      <c r="B216" s="5" t="s">
        <v>7</v>
      </c>
      <c r="C216" s="1"/>
      <c r="D216" s="1"/>
      <c r="E216" s="1"/>
      <c r="F216" s="1"/>
      <c r="G216" s="1"/>
      <c r="H216" s="1">
        <v>1366596.8595</v>
      </c>
      <c r="I216" s="1">
        <v>279373.115475</v>
      </c>
      <c r="J216" s="1">
        <v>850384.0647000001</v>
      </c>
      <c r="K216" s="1">
        <v>3804714.5829750006</v>
      </c>
      <c r="L216" s="1">
        <v>1999163.0000250004</v>
      </c>
      <c r="M216" s="1">
        <v>1831526.8789500003</v>
      </c>
      <c r="N216" s="1">
        <v>2977155.4367250009</v>
      </c>
      <c r="O216" s="1">
        <v>1000138.529925</v>
      </c>
      <c r="P216" s="1">
        <v>2417561.5752000008</v>
      </c>
      <c r="Q216" s="1">
        <v>2195452.013175</v>
      </c>
      <c r="R216" s="1">
        <v>1455438.4614000001</v>
      </c>
      <c r="S216" s="1">
        <v>760870.48612500005</v>
      </c>
      <c r="T216" s="1">
        <v>1119280.503825</v>
      </c>
      <c r="U216" s="1">
        <v>711032.38897500001</v>
      </c>
      <c r="V216" s="1">
        <v>1264477.5837000003</v>
      </c>
      <c r="W216" s="1">
        <v>3514658.0980500001</v>
      </c>
      <c r="X216" s="1">
        <v>3232438.1667000004</v>
      </c>
      <c r="Y216" s="1">
        <v>2093463.8959500003</v>
      </c>
      <c r="Z216" s="1">
        <v>2452055.3421750003</v>
      </c>
      <c r="AA216" s="1">
        <v>1360278.6819750001</v>
      </c>
      <c r="AB216" s="1">
        <v>2569176.6819750001</v>
      </c>
      <c r="AC216" s="1">
        <v>98166.22335</v>
      </c>
      <c r="AD216" s="1">
        <v>14433.797025000003</v>
      </c>
      <c r="AE216" s="1">
        <v>165686.53072500002</v>
      </c>
      <c r="AF216" s="1">
        <v>-32594.034824999992</v>
      </c>
      <c r="AG216" s="1">
        <v>424997.81190000003</v>
      </c>
      <c r="AH216" s="1">
        <v>1146572.3090250001</v>
      </c>
      <c r="AI216" s="1">
        <v>2222594.7648750003</v>
      </c>
      <c r="AJ216" s="1">
        <v>2861175.0804750002</v>
      </c>
      <c r="AK216" s="1">
        <v>4171941.3156750007</v>
      </c>
      <c r="AL216" s="1">
        <v>2738656.8314999999</v>
      </c>
      <c r="AM216" s="1">
        <v>3535719.4635749999</v>
      </c>
      <c r="AN216" s="1">
        <v>2149610.5093499999</v>
      </c>
      <c r="AO216" s="1">
        <v>2655727.9879500004</v>
      </c>
      <c r="AP216" s="1">
        <v>1838647.8960750003</v>
      </c>
      <c r="AQ216" s="1">
        <v>1827845.147475</v>
      </c>
      <c r="AR216" s="1">
        <v>1969975.1029500002</v>
      </c>
      <c r="AS216" s="1">
        <v>2246353.0969500002</v>
      </c>
      <c r="AT216" s="1">
        <v>968266.94287500007</v>
      </c>
      <c r="AU216" s="1">
        <v>3662001.1737000002</v>
      </c>
      <c r="AV216" s="1">
        <v>3260427.4919250007</v>
      </c>
      <c r="AW216" s="1">
        <v>4858694.3407499995</v>
      </c>
      <c r="AX216" s="1">
        <v>1077235.0130250005</v>
      </c>
      <c r="AY216" s="1">
        <v>3374545.1418000003</v>
      </c>
      <c r="AZ216" s="1">
        <v>2093782.4554500005</v>
      </c>
      <c r="BA216" s="1">
        <v>2493107.7520500002</v>
      </c>
      <c r="BB216" s="1">
        <v>1712271.5732250004</v>
      </c>
      <c r="BC216" s="1">
        <v>1822312.1434499999</v>
      </c>
      <c r="BD216" s="1">
        <v>1608600.014775</v>
      </c>
      <c r="BE216" s="1">
        <v>1094697.468225</v>
      </c>
      <c r="BF216" s="1">
        <v>1084551.59115</v>
      </c>
      <c r="BG216" s="1">
        <v>4767402.1020750003</v>
      </c>
      <c r="BH216" s="1">
        <v>3838172.8034250005</v>
      </c>
      <c r="BI216" s="1">
        <v>2542752.2963249995</v>
      </c>
      <c r="BJ216" s="1">
        <v>3727560.6722250003</v>
      </c>
      <c r="BK216" s="1">
        <v>3404301.0648750002</v>
      </c>
      <c r="BL216" s="1">
        <v>2785907.8629000001</v>
      </c>
      <c r="BM216" s="1">
        <v>2959894.415025</v>
      </c>
      <c r="BN216" s="1">
        <v>2187831.0249000005</v>
      </c>
      <c r="BO216" s="1">
        <v>2030050.0766250002</v>
      </c>
      <c r="BP216" s="1">
        <v>643428.25537499995</v>
      </c>
      <c r="BQ216" s="1">
        <v>1704494.5391250004</v>
      </c>
      <c r="BR216" s="1">
        <v>1216490.2886250003</v>
      </c>
      <c r="BS216" s="1">
        <v>4205014.6518000001</v>
      </c>
      <c r="BT216" s="1">
        <v>4597357.7794500003</v>
      </c>
      <c r="BU216" s="1">
        <v>2766936.9379500006</v>
      </c>
      <c r="BV216" s="1">
        <v>3983531.5397249996</v>
      </c>
      <c r="BW216" s="1">
        <v>4369902.3112500003</v>
      </c>
      <c r="BX216" s="1">
        <v>3233711.8782000002</v>
      </c>
      <c r="BY216" s="1">
        <v>2008891.4962500001</v>
      </c>
      <c r="BZ216" s="1">
        <v>2078352.7850249999</v>
      </c>
      <c r="CA216" s="1">
        <v>2431935.1413000003</v>
      </c>
      <c r="CB216" s="1">
        <v>2010715.4792250001</v>
      </c>
      <c r="CC216" s="1">
        <v>1740607.5312000003</v>
      </c>
      <c r="CD216" s="1">
        <v>1688651.3002500001</v>
      </c>
      <c r="CE216" s="1">
        <v>5457819.8418749999</v>
      </c>
      <c r="CF216" s="1">
        <v>1952744.4515250002</v>
      </c>
      <c r="CG216" s="1">
        <v>4558224.1050000004</v>
      </c>
      <c r="CH216" s="1">
        <v>1009410.8523750001</v>
      </c>
      <c r="CI216" s="1">
        <v>4900079.1206250004</v>
      </c>
      <c r="CJ216" s="1">
        <v>2787596.8492500004</v>
      </c>
      <c r="CK216" s="1">
        <v>1499239.93365</v>
      </c>
      <c r="CL216" s="1">
        <v>2873639.1876750006</v>
      </c>
      <c r="CM216" s="1">
        <v>3155606.9714250001</v>
      </c>
      <c r="CN216" s="1">
        <v>2838223.5657750005</v>
      </c>
      <c r="CO216" s="1">
        <v>2546032.9252499999</v>
      </c>
      <c r="CP216" s="1">
        <v>2837290.9479749999</v>
      </c>
      <c r="CQ216" s="1">
        <v>3665618.1490500006</v>
      </c>
      <c r="CR216" s="1">
        <v>4002945.041925</v>
      </c>
      <c r="CS216" s="1">
        <v>4918242.4215749996</v>
      </c>
      <c r="CT216" s="1">
        <v>4561228.727775</v>
      </c>
      <c r="CU216" s="1">
        <v>4354095.6519750003</v>
      </c>
      <c r="CV216" s="1">
        <v>2387411.1274500005</v>
      </c>
      <c r="CW216" s="1">
        <v>3103842.2082750001</v>
      </c>
      <c r="CX216" s="1">
        <v>2948390.0700750002</v>
      </c>
      <c r="CY216" s="1">
        <v>2612424.9417749997</v>
      </c>
      <c r="CZ216" s="1">
        <v>3406322.4914250001</v>
      </c>
      <c r="DA216" s="1">
        <v>2562570</v>
      </c>
      <c r="DB216" s="1">
        <v>2198205</v>
      </c>
      <c r="DC216" s="1">
        <v>0</v>
      </c>
      <c r="DD216" s="1">
        <v>0</v>
      </c>
      <c r="DE216" s="1">
        <v>0</v>
      </c>
      <c r="DF216" s="1">
        <v>0</v>
      </c>
      <c r="DH216" s="6">
        <f t="shared" si="87"/>
        <v>242462338.100775</v>
      </c>
    </row>
    <row r="217" spans="1:112" x14ac:dyDescent="0.2">
      <c r="A217" s="5" t="str">
        <f>A216</f>
        <v>NV</v>
      </c>
      <c r="B217" s="5" t="s">
        <v>41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H217" s="6">
        <f t="shared" si="87"/>
        <v>0</v>
      </c>
    </row>
    <row r="218" spans="1:112" x14ac:dyDescent="0.2">
      <c r="A218" s="5" t="s">
        <v>30</v>
      </c>
      <c r="B218" s="5" t="s">
        <v>4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>
        <v>2789946.4023343301</v>
      </c>
      <c r="V218" s="1">
        <v>6505954.6506499145</v>
      </c>
      <c r="W218" s="1">
        <v>17812510.542108931</v>
      </c>
      <c r="X218" s="1">
        <v>17813260.476620529</v>
      </c>
      <c r="Y218" s="1">
        <v>10730983.970921582</v>
      </c>
      <c r="Z218" s="1">
        <v>5965173.6449549375</v>
      </c>
      <c r="AA218" s="1">
        <v>15340666.87732196</v>
      </c>
      <c r="AB218" s="1">
        <v>-1701244.8767724903</v>
      </c>
      <c r="AC218" s="1">
        <v>732837.68520097015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11119469.052172754</v>
      </c>
      <c r="AJ218" s="1">
        <v>20697482.219091292</v>
      </c>
      <c r="AK218" s="1">
        <v>20271668.885268927</v>
      </c>
      <c r="AL218" s="1">
        <v>17229299.053563356</v>
      </c>
      <c r="AM218" s="1">
        <v>27760010.322373021</v>
      </c>
      <c r="AN218" s="1">
        <v>9007521.847539505</v>
      </c>
      <c r="AO218" s="1">
        <v>14255999.820957011</v>
      </c>
      <c r="AP218" s="1">
        <v>13537155.9</v>
      </c>
      <c r="AQ218" s="1">
        <v>14145741.940000001</v>
      </c>
      <c r="AR218" s="1">
        <v>14239818.800000001</v>
      </c>
      <c r="AS218" s="1">
        <v>9338106.9000000004</v>
      </c>
      <c r="AT218" s="1">
        <v>9153603.3200000003</v>
      </c>
      <c r="AU218" s="1">
        <v>17355781.390000001</v>
      </c>
      <c r="AV218" s="1">
        <v>25567295.66</v>
      </c>
      <c r="AW218" s="1">
        <v>21519094.02</v>
      </c>
      <c r="AX218" s="1">
        <v>21129980.810000002</v>
      </c>
      <c r="AY218" s="1">
        <v>1686263897.657105</v>
      </c>
      <c r="AZ218" s="1">
        <v>1534078892.7780001</v>
      </c>
      <c r="BA218" s="1">
        <v>1644789691.23</v>
      </c>
      <c r="BB218" s="1">
        <v>1396791940.8174987</v>
      </c>
      <c r="BC218" s="1">
        <v>1269862569.5752504</v>
      </c>
      <c r="BD218" s="1">
        <v>1056694011.046999</v>
      </c>
      <c r="BE218" s="1">
        <v>804966380.86874866</v>
      </c>
      <c r="BF218" s="1">
        <v>877407453.70000005</v>
      </c>
      <c r="BG218" s="1">
        <v>1265553629.3276925</v>
      </c>
      <c r="BH218" s="1">
        <v>1555051005.9422405</v>
      </c>
      <c r="BI218" s="1">
        <v>1564144671.7882471</v>
      </c>
      <c r="BJ218" s="1">
        <v>1632469010.5172491</v>
      </c>
      <c r="BK218" s="1">
        <v>1799048365.6499999</v>
      </c>
      <c r="BL218" s="1">
        <v>1474299932.2574992</v>
      </c>
      <c r="BM218" s="1">
        <v>1792885345.0442004</v>
      </c>
      <c r="BN218" s="1">
        <v>1550014913.6494012</v>
      </c>
      <c r="BO218" s="1">
        <v>1363794316.105201</v>
      </c>
      <c r="BP218" s="1">
        <v>1170989675.8605998</v>
      </c>
      <c r="BQ218" s="1">
        <v>966555214.62240016</v>
      </c>
      <c r="BR218" s="1">
        <v>1118163958.6805162</v>
      </c>
      <c r="BS218" s="1">
        <v>1767913849.0316825</v>
      </c>
      <c r="BT218" s="1">
        <v>2017133483.8390973</v>
      </c>
      <c r="BU218" s="1">
        <v>2122331713.1199996</v>
      </c>
      <c r="BV218" s="1">
        <v>2053736710.4900002</v>
      </c>
      <c r="BW218" s="1">
        <v>1965468151.0799992</v>
      </c>
      <c r="BX218" s="1">
        <v>1779072191.954499</v>
      </c>
      <c r="BY218" s="1">
        <v>1854674064.658499</v>
      </c>
      <c r="BZ218" s="1">
        <v>1969945755.4022634</v>
      </c>
      <c r="CA218" s="1">
        <v>1978317034.0018015</v>
      </c>
      <c r="CB218" s="1">
        <v>1477842946.51</v>
      </c>
      <c r="CC218" s="1">
        <v>1265934084.9699998</v>
      </c>
      <c r="CD218" s="1">
        <v>1440577942.6000001</v>
      </c>
      <c r="CE218" s="1">
        <v>2079869074.5399995</v>
      </c>
      <c r="CF218" s="1">
        <v>2329400445.5599999</v>
      </c>
      <c r="CG218" s="1">
        <v>2273599386.5900006</v>
      </c>
      <c r="CH218" s="1">
        <v>2289276064.96</v>
      </c>
      <c r="CI218" s="1">
        <v>2487676801.3800001</v>
      </c>
      <c r="CJ218" s="1">
        <v>1979914659.0900002</v>
      </c>
      <c r="CK218" s="1">
        <v>2445290864.5299997</v>
      </c>
      <c r="CL218" s="1">
        <v>2158082653.6699996</v>
      </c>
      <c r="CM218" s="1">
        <v>2215450268.5019999</v>
      </c>
      <c r="CN218" s="1">
        <v>1653307478.2770004</v>
      </c>
      <c r="CO218" s="1">
        <v>1403671173.5645003</v>
      </c>
      <c r="CP218" s="1">
        <v>2047456609.1139994</v>
      </c>
      <c r="CQ218" s="1">
        <v>2293417992.3399997</v>
      </c>
      <c r="CR218" s="1">
        <v>2647477837.7000003</v>
      </c>
      <c r="CS218" s="1">
        <v>2611650451.3400002</v>
      </c>
      <c r="CT218" s="1">
        <v>2386089817.1800036</v>
      </c>
      <c r="CU218" s="1">
        <v>2448297287.1400003</v>
      </c>
      <c r="CV218" s="1">
        <v>2010593317.8799996</v>
      </c>
      <c r="CW218" s="1">
        <v>2331229139.0900002</v>
      </c>
      <c r="CX218" s="1">
        <v>2168374799.5799999</v>
      </c>
      <c r="CY218" s="1">
        <v>2135286696.9599998</v>
      </c>
      <c r="CZ218" s="1">
        <v>2255896017.79</v>
      </c>
      <c r="DA218" s="1">
        <v>1879943508.1099999</v>
      </c>
      <c r="DB218" s="1">
        <v>1733290205.9499998</v>
      </c>
      <c r="DC218" s="1">
        <v>2266719095.7899995</v>
      </c>
      <c r="DD218" s="1">
        <v>0</v>
      </c>
      <c r="DE218" s="1">
        <v>0</v>
      </c>
      <c r="DF218" s="1">
        <v>0</v>
      </c>
      <c r="DH218" s="6">
        <f t="shared" si="87"/>
        <v>104090352570.71849</v>
      </c>
    </row>
    <row r="219" spans="1:112" x14ac:dyDescent="0.2">
      <c r="A219" s="5" t="s">
        <v>30</v>
      </c>
      <c r="B219" s="5" t="s">
        <v>42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1669719033.597105</v>
      </c>
      <c r="AZ219" s="1">
        <v>1527568253.8180001</v>
      </c>
      <c r="BA219" s="1">
        <v>1638266832.8600001</v>
      </c>
      <c r="BB219" s="1">
        <v>1390777874.5374987</v>
      </c>
      <c r="BC219" s="1">
        <v>1263484474.2052505</v>
      </c>
      <c r="BD219" s="1">
        <v>1051624719.6069989</v>
      </c>
      <c r="BE219" s="1">
        <v>800753012.29874861</v>
      </c>
      <c r="BF219" s="1">
        <v>872228171.19000006</v>
      </c>
      <c r="BG219" s="1">
        <v>1256704041.9876926</v>
      </c>
      <c r="BH219" s="1">
        <v>1543789024.3822405</v>
      </c>
      <c r="BI219" s="1">
        <v>1553860981.9482472</v>
      </c>
      <c r="BJ219" s="1">
        <v>1623786503.367249</v>
      </c>
      <c r="BK219" s="1">
        <v>1788991455.3999999</v>
      </c>
      <c r="BL219" s="1">
        <v>1466956555.3274992</v>
      </c>
      <c r="BM219" s="1">
        <v>1785952976.6442003</v>
      </c>
      <c r="BN219" s="1">
        <v>1544465378.0994012</v>
      </c>
      <c r="BO219" s="1">
        <v>1358583506.2252009</v>
      </c>
      <c r="BP219" s="1">
        <v>1166390859.2105997</v>
      </c>
      <c r="BQ219" s="1">
        <v>962126094.05240011</v>
      </c>
      <c r="BR219" s="1">
        <v>1112768221.2405162</v>
      </c>
      <c r="BS219" s="1">
        <v>1759236825.6116824</v>
      </c>
      <c r="BT219" s="1">
        <v>2006823407.9990973</v>
      </c>
      <c r="BU219" s="1">
        <v>2109294399.7599998</v>
      </c>
      <c r="BV219" s="1">
        <v>2041931893.3300002</v>
      </c>
      <c r="BW219" s="1">
        <v>1955590363.9599993</v>
      </c>
      <c r="BX219" s="1">
        <v>1773303031.7844989</v>
      </c>
      <c r="BY219" s="1">
        <v>1849080275.9884989</v>
      </c>
      <c r="BZ219" s="1">
        <v>1964058932.3422635</v>
      </c>
      <c r="CA219" s="1">
        <v>1972946780.0618014</v>
      </c>
      <c r="CB219" s="1">
        <v>1473071481.24</v>
      </c>
      <c r="CC219" s="1">
        <v>1261967679.1199999</v>
      </c>
      <c r="CD219" s="1">
        <v>1436142323.1100001</v>
      </c>
      <c r="CE219" s="1">
        <v>2071515109.9399996</v>
      </c>
      <c r="CF219" s="1">
        <v>2321095638.1199999</v>
      </c>
      <c r="CG219" s="1">
        <v>2265089203.5200005</v>
      </c>
      <c r="CH219" s="1">
        <v>2280644346.8400002</v>
      </c>
      <c r="CI219" s="1">
        <v>2480723677.6199999</v>
      </c>
      <c r="CJ219" s="1">
        <v>1975603981.6000001</v>
      </c>
      <c r="CK219" s="1">
        <v>2439979634.3099999</v>
      </c>
      <c r="CL219" s="1">
        <v>2153262045.0999994</v>
      </c>
      <c r="CM219" s="1">
        <v>2211676704.5419998</v>
      </c>
      <c r="CN219" s="1">
        <v>1649539165.7770004</v>
      </c>
      <c r="CO219" s="1">
        <v>1401341092.1445003</v>
      </c>
      <c r="CP219" s="1">
        <v>2044463753.5039995</v>
      </c>
      <c r="CQ219" s="1">
        <v>2287762266.3799996</v>
      </c>
      <c r="CR219" s="1">
        <v>2642692499.0100002</v>
      </c>
      <c r="CS219" s="1">
        <v>2606597963</v>
      </c>
      <c r="CT219" s="1">
        <v>2381848510.3100038</v>
      </c>
      <c r="CU219" s="1">
        <v>2443670305.6100001</v>
      </c>
      <c r="CV219" s="1">
        <v>2007210673.0399997</v>
      </c>
      <c r="CW219" s="1">
        <v>2328304031.75</v>
      </c>
      <c r="CX219" s="1">
        <v>2165201726.9499998</v>
      </c>
      <c r="CY219" s="1">
        <v>2132772286.3399999</v>
      </c>
      <c r="CZ219" s="1">
        <v>2253568544.6900001</v>
      </c>
      <c r="DA219" s="1">
        <v>1878017984.6899998</v>
      </c>
      <c r="DB219" s="1">
        <v>1731302502.8299999</v>
      </c>
      <c r="DC219" s="1">
        <v>2262340732.1099997</v>
      </c>
      <c r="DD219" s="1">
        <v>0</v>
      </c>
      <c r="DE219" s="1">
        <v>0</v>
      </c>
      <c r="DF219" s="1">
        <v>0</v>
      </c>
      <c r="DH219" s="6">
        <f t="shared" si="87"/>
        <v>103398469744.03418</v>
      </c>
    </row>
    <row r="220" spans="1:112" x14ac:dyDescent="0.2">
      <c r="A220" s="5" t="s">
        <v>30</v>
      </c>
      <c r="B220" s="5" t="s">
        <v>43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>
        <f t="shared" ref="U220:CF220" si="98">U218-U219</f>
        <v>2789946.4023343301</v>
      </c>
      <c r="V220" s="1">
        <f t="shared" si="98"/>
        <v>6505954.6506499145</v>
      </c>
      <c r="W220" s="1">
        <f t="shared" si="98"/>
        <v>17812510.542108931</v>
      </c>
      <c r="X220" s="1">
        <f t="shared" si="98"/>
        <v>17813260.476620529</v>
      </c>
      <c r="Y220" s="1">
        <f t="shared" si="98"/>
        <v>10730983.970921582</v>
      </c>
      <c r="Z220" s="1">
        <f t="shared" si="98"/>
        <v>5965173.6449549375</v>
      </c>
      <c r="AA220" s="1">
        <f t="shared" si="98"/>
        <v>15340666.87732196</v>
      </c>
      <c r="AB220" s="1">
        <f t="shared" si="98"/>
        <v>-1701244.8767724903</v>
      </c>
      <c r="AC220" s="1">
        <f t="shared" si="98"/>
        <v>732837.68520097015</v>
      </c>
      <c r="AD220" s="1">
        <f t="shared" si="98"/>
        <v>0</v>
      </c>
      <c r="AE220" s="1">
        <f t="shared" si="98"/>
        <v>0</v>
      </c>
      <c r="AF220" s="1">
        <f t="shared" si="98"/>
        <v>0</v>
      </c>
      <c r="AG220" s="1">
        <f t="shared" si="98"/>
        <v>0</v>
      </c>
      <c r="AH220" s="1">
        <f t="shared" si="98"/>
        <v>0</v>
      </c>
      <c r="AI220" s="1">
        <f t="shared" si="98"/>
        <v>11119469.052172754</v>
      </c>
      <c r="AJ220" s="1">
        <f t="shared" si="98"/>
        <v>20697482.219091292</v>
      </c>
      <c r="AK220" s="1">
        <f t="shared" si="98"/>
        <v>20271668.885268927</v>
      </c>
      <c r="AL220" s="1">
        <f t="shared" si="98"/>
        <v>17229299.053563356</v>
      </c>
      <c r="AM220" s="1">
        <f t="shared" si="98"/>
        <v>27760010.322373021</v>
      </c>
      <c r="AN220" s="1">
        <f t="shared" si="98"/>
        <v>9007521.847539505</v>
      </c>
      <c r="AO220" s="1">
        <f t="shared" si="98"/>
        <v>14255999.820957011</v>
      </c>
      <c r="AP220" s="1">
        <f t="shared" si="98"/>
        <v>13537155.9</v>
      </c>
      <c r="AQ220" s="1">
        <f t="shared" si="98"/>
        <v>14145741.940000001</v>
      </c>
      <c r="AR220" s="1">
        <f t="shared" si="98"/>
        <v>14239818.800000001</v>
      </c>
      <c r="AS220" s="1">
        <f t="shared" si="98"/>
        <v>9338106.9000000004</v>
      </c>
      <c r="AT220" s="1">
        <f t="shared" si="98"/>
        <v>9153603.3200000003</v>
      </c>
      <c r="AU220" s="1">
        <f t="shared" si="98"/>
        <v>17355781.390000001</v>
      </c>
      <c r="AV220" s="1">
        <f t="shared" si="98"/>
        <v>25567295.66</v>
      </c>
      <c r="AW220" s="1">
        <f t="shared" si="98"/>
        <v>21519094.02</v>
      </c>
      <c r="AX220" s="1">
        <f t="shared" si="98"/>
        <v>21129980.810000002</v>
      </c>
      <c r="AY220" s="1">
        <f t="shared" si="98"/>
        <v>16544864.059999943</v>
      </c>
      <c r="AZ220" s="1">
        <f t="shared" si="98"/>
        <v>6510638.9600000381</v>
      </c>
      <c r="BA220" s="1">
        <f t="shared" si="98"/>
        <v>6522858.3699998856</v>
      </c>
      <c r="BB220" s="1">
        <f t="shared" si="98"/>
        <v>6014066.2799999714</v>
      </c>
      <c r="BC220" s="1">
        <f t="shared" si="98"/>
        <v>6378095.3699998856</v>
      </c>
      <c r="BD220" s="1">
        <f t="shared" si="98"/>
        <v>5069291.4400000572</v>
      </c>
      <c r="BE220" s="1">
        <f t="shared" si="98"/>
        <v>4213368.5700000525</v>
      </c>
      <c r="BF220" s="1">
        <f t="shared" si="98"/>
        <v>5179282.5099999905</v>
      </c>
      <c r="BG220" s="1">
        <f t="shared" si="98"/>
        <v>8849587.3399999142</v>
      </c>
      <c r="BH220" s="1">
        <f t="shared" si="98"/>
        <v>11261981.559999943</v>
      </c>
      <c r="BI220" s="1">
        <f t="shared" si="98"/>
        <v>10283689.839999914</v>
      </c>
      <c r="BJ220" s="1">
        <f t="shared" si="98"/>
        <v>8682507.1500000954</v>
      </c>
      <c r="BK220" s="1">
        <f t="shared" si="98"/>
        <v>10056910.25</v>
      </c>
      <c r="BL220" s="1">
        <f t="shared" si="98"/>
        <v>7343376.9300000668</v>
      </c>
      <c r="BM220" s="1">
        <f t="shared" si="98"/>
        <v>6932368.4000000954</v>
      </c>
      <c r="BN220" s="1">
        <f t="shared" si="98"/>
        <v>5549535.5499999523</v>
      </c>
      <c r="BO220" s="1">
        <f t="shared" si="98"/>
        <v>5210809.8800001144</v>
      </c>
      <c r="BP220" s="1">
        <f t="shared" si="98"/>
        <v>4598816.6500000954</v>
      </c>
      <c r="BQ220" s="1">
        <f t="shared" si="98"/>
        <v>4429120.5700000525</v>
      </c>
      <c r="BR220" s="1">
        <f t="shared" si="98"/>
        <v>5395737.4400000572</v>
      </c>
      <c r="BS220" s="1">
        <f t="shared" si="98"/>
        <v>8677023.4200000763</v>
      </c>
      <c r="BT220" s="1">
        <f t="shared" si="98"/>
        <v>10310075.839999914</v>
      </c>
      <c r="BU220" s="1">
        <f t="shared" si="98"/>
        <v>13037313.359999895</v>
      </c>
      <c r="BV220" s="1">
        <f t="shared" si="98"/>
        <v>11804817.160000086</v>
      </c>
      <c r="BW220" s="1">
        <f t="shared" si="98"/>
        <v>9877787.1199998856</v>
      </c>
      <c r="BX220" s="1">
        <f t="shared" si="98"/>
        <v>5769160.1700000763</v>
      </c>
      <c r="BY220" s="1">
        <f t="shared" si="98"/>
        <v>5593788.6700000763</v>
      </c>
      <c r="BZ220" s="1">
        <f t="shared" si="98"/>
        <v>5886823.0599999428</v>
      </c>
      <c r="CA220" s="1">
        <f t="shared" si="98"/>
        <v>5370253.9400000572</v>
      </c>
      <c r="CB220" s="1">
        <f t="shared" si="98"/>
        <v>4771465.2699999809</v>
      </c>
      <c r="CC220" s="1">
        <f t="shared" si="98"/>
        <v>3966405.8499999046</v>
      </c>
      <c r="CD220" s="1">
        <f t="shared" si="98"/>
        <v>4435619.4900000095</v>
      </c>
      <c r="CE220" s="1">
        <f t="shared" si="98"/>
        <v>8353964.5999999046</v>
      </c>
      <c r="CF220" s="1">
        <f t="shared" si="98"/>
        <v>8304807.4400000572</v>
      </c>
      <c r="CG220" s="1">
        <f t="shared" ref="CG220:DF220" si="99">CG218-CG219</f>
        <v>8510183.0700001717</v>
      </c>
      <c r="CH220" s="1">
        <f t="shared" si="99"/>
        <v>8631718.1199998856</v>
      </c>
      <c r="CI220" s="1">
        <f t="shared" si="99"/>
        <v>6953123.7600002289</v>
      </c>
      <c r="CJ220" s="1">
        <f t="shared" si="99"/>
        <v>4310677.4900000095</v>
      </c>
      <c r="CK220" s="1">
        <f t="shared" si="99"/>
        <v>5311230.2199997902</v>
      </c>
      <c r="CL220" s="1">
        <f t="shared" si="99"/>
        <v>4820608.5700001717</v>
      </c>
      <c r="CM220" s="1">
        <f t="shared" si="99"/>
        <v>3773563.9600000381</v>
      </c>
      <c r="CN220" s="1">
        <f t="shared" si="99"/>
        <v>3768312.5</v>
      </c>
      <c r="CO220" s="1">
        <f t="shared" si="99"/>
        <v>2330081.4200000763</v>
      </c>
      <c r="CP220" s="1">
        <f t="shared" si="99"/>
        <v>2992855.6099998951</v>
      </c>
      <c r="CQ220" s="1">
        <f t="shared" si="99"/>
        <v>5655725.9600000381</v>
      </c>
      <c r="CR220" s="1">
        <f t="shared" si="99"/>
        <v>4785338.6900000572</v>
      </c>
      <c r="CS220" s="1">
        <f t="shared" si="99"/>
        <v>5052488.3400001526</v>
      </c>
      <c r="CT220" s="1">
        <f t="shared" si="99"/>
        <v>4241306.8699998856</v>
      </c>
      <c r="CU220" s="1">
        <f t="shared" si="99"/>
        <v>4626981.5300002098</v>
      </c>
      <c r="CV220" s="1">
        <f t="shared" si="99"/>
        <v>3382644.8399999142</v>
      </c>
      <c r="CW220" s="1">
        <f t="shared" si="99"/>
        <v>2925107.3400001526</v>
      </c>
      <c r="CX220" s="1">
        <f t="shared" si="99"/>
        <v>3173072.6300001144</v>
      </c>
      <c r="CY220" s="1">
        <f t="shared" si="99"/>
        <v>2514410.6199998856</v>
      </c>
      <c r="CZ220" s="1">
        <f t="shared" si="99"/>
        <v>2327473.0999999046</v>
      </c>
      <c r="DA220" s="1">
        <f t="shared" si="99"/>
        <v>1925523.4200000763</v>
      </c>
      <c r="DB220" s="1">
        <f t="shared" si="99"/>
        <v>1987703.1199998856</v>
      </c>
      <c r="DC220" s="1">
        <f t="shared" si="99"/>
        <v>4378363.6799998283</v>
      </c>
      <c r="DD220" s="1">
        <f t="shared" si="99"/>
        <v>0</v>
      </c>
      <c r="DE220" s="1">
        <f t="shared" si="99"/>
        <v>0</v>
      </c>
      <c r="DF220" s="1">
        <f t="shared" si="99"/>
        <v>0</v>
      </c>
      <c r="DH220" s="6">
        <f t="shared" si="87"/>
        <v>691882826.68430686</v>
      </c>
    </row>
    <row r="221" spans="1:112" x14ac:dyDescent="0.2">
      <c r="A221" s="5" t="s">
        <v>30</v>
      </c>
      <c r="B221" s="5" t="s">
        <v>5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>
        <v>349468.07</v>
      </c>
      <c r="V221" s="1">
        <v>828151.5</v>
      </c>
      <c r="W221" s="1">
        <v>2283864.23</v>
      </c>
      <c r="X221" s="1">
        <v>2233227.2000000002</v>
      </c>
      <c r="Y221" s="1">
        <v>1308295</v>
      </c>
      <c r="Z221" s="1">
        <v>780416.94</v>
      </c>
      <c r="AA221" s="1">
        <v>1943350.68</v>
      </c>
      <c r="AB221" s="1">
        <v>-179591.62</v>
      </c>
      <c r="AC221" s="1">
        <v>99514.37000000001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1403543.6400000001</v>
      </c>
      <c r="AJ221" s="1">
        <v>2623464.0299999993</v>
      </c>
      <c r="AK221" s="1">
        <v>2619676.46</v>
      </c>
      <c r="AL221" s="1">
        <v>2258770.7800000003</v>
      </c>
      <c r="AM221" s="1">
        <v>3569855.0600000005</v>
      </c>
      <c r="AN221" s="1">
        <v>1153274.8900000001</v>
      </c>
      <c r="AO221" s="1">
        <v>1845684.33</v>
      </c>
      <c r="AP221" s="1">
        <v>1322622.8500000001</v>
      </c>
      <c r="AQ221" s="1">
        <v>1590113.33</v>
      </c>
      <c r="AR221" s="1">
        <v>1858641.7500000002</v>
      </c>
      <c r="AS221" s="1">
        <v>1273620.5</v>
      </c>
      <c r="AT221" s="1">
        <v>1080570.23</v>
      </c>
      <c r="AU221" s="1">
        <v>3187044.9300000006</v>
      </c>
      <c r="AV221" s="1">
        <v>1718614.68</v>
      </c>
      <c r="AW221" s="1">
        <v>3956491.1799999997</v>
      </c>
      <c r="AX221" s="1">
        <v>764614.8600000001</v>
      </c>
      <c r="AY221" s="1">
        <v>123810126.06710508</v>
      </c>
      <c r="AZ221" s="1">
        <v>82149598.748000026</v>
      </c>
      <c r="BA221" s="1">
        <v>114956203.66</v>
      </c>
      <c r="BB221" s="1">
        <v>104535898.34994751</v>
      </c>
      <c r="BC221" s="1">
        <v>110418075.3252456</v>
      </c>
      <c r="BD221" s="1">
        <v>72441500.736992985</v>
      </c>
      <c r="BE221" s="1">
        <v>73880416.198737711</v>
      </c>
      <c r="BF221" s="1">
        <v>100760792.58</v>
      </c>
      <c r="BG221" s="1">
        <v>145039866.88750035</v>
      </c>
      <c r="BH221" s="1">
        <v>146845937.08237541</v>
      </c>
      <c r="BI221" s="1">
        <v>149244900.6281611</v>
      </c>
      <c r="BJ221" s="1">
        <v>142969451.15730026</v>
      </c>
      <c r="BK221" s="1">
        <v>149886748.56</v>
      </c>
      <c r="BL221" s="1">
        <v>108470835.02749434</v>
      </c>
      <c r="BM221" s="1">
        <v>163582116.31408814</v>
      </c>
      <c r="BN221" s="1">
        <v>139265045.2094211</v>
      </c>
      <c r="BO221" s="1">
        <v>152643135.11520588</v>
      </c>
      <c r="BP221" s="1">
        <v>103956639.67059904</v>
      </c>
      <c r="BQ221" s="1">
        <v>105510883.41239697</v>
      </c>
      <c r="BR221" s="1">
        <v>99241792.77050519</v>
      </c>
      <c r="BS221" s="1">
        <v>166834225.65173349</v>
      </c>
      <c r="BT221" s="1">
        <v>167327703.72892961</v>
      </c>
      <c r="BU221" s="1">
        <v>151291344.72000003</v>
      </c>
      <c r="BV221" s="1">
        <v>189287145.95000005</v>
      </c>
      <c r="BW221" s="1">
        <v>211706706.12472731</v>
      </c>
      <c r="BX221" s="1">
        <v>131315620.94846192</v>
      </c>
      <c r="BY221" s="1">
        <v>152553937.44840503</v>
      </c>
      <c r="BZ221" s="1">
        <v>184032347.34039208</v>
      </c>
      <c r="CA221" s="1">
        <v>203760343.36179858</v>
      </c>
      <c r="CB221" s="1">
        <v>134169779</v>
      </c>
      <c r="CC221" s="1">
        <v>140856540.05044198</v>
      </c>
      <c r="CD221" s="1">
        <v>125961724.11000504</v>
      </c>
      <c r="CE221" s="1">
        <v>206067212.07980797</v>
      </c>
      <c r="CF221" s="1">
        <v>176354953.18999997</v>
      </c>
      <c r="CG221" s="1">
        <v>232209891.32999101</v>
      </c>
      <c r="CH221" s="1">
        <v>150154371.83927894</v>
      </c>
      <c r="CI221" s="1">
        <v>248001821.16907096</v>
      </c>
      <c r="CJ221" s="1">
        <v>184512124.78998101</v>
      </c>
      <c r="CK221" s="1">
        <v>162142923.54001004</v>
      </c>
      <c r="CL221" s="1">
        <v>192616927.17993808</v>
      </c>
      <c r="CM221" s="1">
        <v>249312914.29198337</v>
      </c>
      <c r="CN221" s="1">
        <v>207187605.60701182</v>
      </c>
      <c r="CO221" s="1">
        <v>155878072.99449193</v>
      </c>
      <c r="CP221" s="1">
        <v>178753562.89400861</v>
      </c>
      <c r="CQ221" s="1">
        <v>194683313.56999996</v>
      </c>
      <c r="CR221" s="1">
        <v>239184304.82000002</v>
      </c>
      <c r="CS221" s="1">
        <v>281284388.03200001</v>
      </c>
      <c r="CT221" s="1">
        <v>260359335.13000333</v>
      </c>
      <c r="CU221" s="1">
        <v>251150748.95290002</v>
      </c>
      <c r="CV221" s="1">
        <v>175958437.04589993</v>
      </c>
      <c r="CW221" s="1">
        <v>217673121.62999997</v>
      </c>
      <c r="CX221" s="1">
        <v>244662586.64649996</v>
      </c>
      <c r="CY221" s="1">
        <v>204251663.40929991</v>
      </c>
      <c r="CZ221" s="1">
        <v>116972691.99919996</v>
      </c>
      <c r="DA221" s="1">
        <v>214616847.27000004</v>
      </c>
      <c r="DB221" s="1">
        <v>168855448.95410001</v>
      </c>
      <c r="DC221" s="1">
        <v>149549010.43599999</v>
      </c>
      <c r="DD221" s="1">
        <v>0</v>
      </c>
      <c r="DE221" s="1">
        <v>0</v>
      </c>
      <c r="DF221" s="1">
        <v>0</v>
      </c>
      <c r="DH221" s="6">
        <f t="shared" si="87"/>
        <v>9452974960.6074505</v>
      </c>
    </row>
    <row r="222" spans="1:112" x14ac:dyDescent="0.2">
      <c r="A222" s="5" t="s">
        <v>30</v>
      </c>
      <c r="B222" s="5" t="s">
        <v>44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124138955.43710509</v>
      </c>
      <c r="AZ222" s="1">
        <v>82392103.188000023</v>
      </c>
      <c r="BA222" s="1">
        <v>114282055.73999999</v>
      </c>
      <c r="BB222" s="1">
        <v>104141625.47994751</v>
      </c>
      <c r="BC222" s="1">
        <v>109788844.99524561</v>
      </c>
      <c r="BD222" s="1">
        <v>72420863.966992989</v>
      </c>
      <c r="BE222" s="1">
        <v>73321229.378737718</v>
      </c>
      <c r="BF222" s="1">
        <v>99602193.359999999</v>
      </c>
      <c r="BG222" s="1">
        <v>143332889.03750035</v>
      </c>
      <c r="BH222" s="1">
        <v>145654718.95237541</v>
      </c>
      <c r="BI222" s="1">
        <v>148221831.88816109</v>
      </c>
      <c r="BJ222" s="1">
        <v>141769786.53730026</v>
      </c>
      <c r="BK222" s="1">
        <v>149427397.17000002</v>
      </c>
      <c r="BL222" s="1">
        <v>108281939.89749435</v>
      </c>
      <c r="BM222" s="1">
        <v>162827580.04408813</v>
      </c>
      <c r="BN222" s="1">
        <v>138820563.52942109</v>
      </c>
      <c r="BO222" s="1">
        <v>151968098.27520588</v>
      </c>
      <c r="BP222" s="1">
        <v>103827783.59059905</v>
      </c>
      <c r="BQ222" s="1">
        <v>105132317.57239696</v>
      </c>
      <c r="BR222" s="1">
        <v>98504384.890505195</v>
      </c>
      <c r="BS222" s="1">
        <v>165562103.82173347</v>
      </c>
      <c r="BT222" s="1">
        <v>166328229.4289296</v>
      </c>
      <c r="BU222" s="1">
        <v>150903281.06000003</v>
      </c>
      <c r="BV222" s="1">
        <v>188300120.23000005</v>
      </c>
      <c r="BW222" s="1">
        <v>211504814.87472731</v>
      </c>
      <c r="BX222" s="1">
        <v>131427395.42846192</v>
      </c>
      <c r="BY222" s="1">
        <v>151679658.46840504</v>
      </c>
      <c r="BZ222" s="1">
        <v>183791666.07039207</v>
      </c>
      <c r="CA222" s="1">
        <v>203347519.01179859</v>
      </c>
      <c r="CB222" s="1">
        <v>133931079.78</v>
      </c>
      <c r="CC222" s="1">
        <v>140328925.60044199</v>
      </c>
      <c r="CD222" s="1">
        <v>124999775.59000504</v>
      </c>
      <c r="CE222" s="1">
        <v>204710934.82980797</v>
      </c>
      <c r="CF222" s="1">
        <v>176346918.49999997</v>
      </c>
      <c r="CG222" s="1">
        <v>231570118.119991</v>
      </c>
      <c r="CH222" s="1">
        <v>150367033.61927894</v>
      </c>
      <c r="CI222" s="1">
        <v>247046629.03907096</v>
      </c>
      <c r="CJ222" s="1">
        <v>184812647.579981</v>
      </c>
      <c r="CK222" s="1">
        <v>161828221.01001003</v>
      </c>
      <c r="CL222" s="1">
        <v>192705546.98993808</v>
      </c>
      <c r="CM222" s="1">
        <v>248906754.46198335</v>
      </c>
      <c r="CN222" s="1">
        <v>206510168.16701183</v>
      </c>
      <c r="CO222" s="1">
        <v>155560834.89449194</v>
      </c>
      <c r="CP222" s="1">
        <v>178210439.07400861</v>
      </c>
      <c r="CQ222" s="1">
        <v>193756854.88999996</v>
      </c>
      <c r="CR222" s="1">
        <v>238745749.44000003</v>
      </c>
      <c r="CS222" s="1">
        <v>280556233.83200002</v>
      </c>
      <c r="CT222" s="1">
        <v>259678101.73000333</v>
      </c>
      <c r="CU222" s="1">
        <v>250629698.10290003</v>
      </c>
      <c r="CV222" s="1">
        <v>175828885.12589994</v>
      </c>
      <c r="CW222" s="1">
        <v>217285589.45999998</v>
      </c>
      <c r="CX222" s="1">
        <v>244127505.08649996</v>
      </c>
      <c r="CY222" s="1">
        <v>204161820.83929992</v>
      </c>
      <c r="CZ222" s="1">
        <v>116764161.07919995</v>
      </c>
      <c r="DA222" s="1">
        <v>214365816.78000003</v>
      </c>
      <c r="DB222" s="1">
        <v>168476334.0941</v>
      </c>
      <c r="DC222" s="1">
        <v>148907530.676</v>
      </c>
      <c r="DD222" s="1">
        <v>0</v>
      </c>
      <c r="DE222" s="1">
        <v>0</v>
      </c>
      <c r="DF222" s="1">
        <v>0</v>
      </c>
      <c r="DH222" s="6">
        <f t="shared" si="87"/>
        <v>9381822259.7174511</v>
      </c>
    </row>
    <row r="223" spans="1:112" x14ac:dyDescent="0.2">
      <c r="A223" s="5" t="s">
        <v>30</v>
      </c>
      <c r="B223" s="5" t="s">
        <v>45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>
        <f t="shared" ref="U223:CF223" si="100">U221-U222</f>
        <v>349468.07</v>
      </c>
      <c r="V223" s="1">
        <f t="shared" si="100"/>
        <v>828151.5</v>
      </c>
      <c r="W223" s="1">
        <f t="shared" si="100"/>
        <v>2283864.23</v>
      </c>
      <c r="X223" s="1">
        <f t="shared" si="100"/>
        <v>2233227.2000000002</v>
      </c>
      <c r="Y223" s="1">
        <f t="shared" si="100"/>
        <v>1308295</v>
      </c>
      <c r="Z223" s="1">
        <f t="shared" si="100"/>
        <v>780416.94</v>
      </c>
      <c r="AA223" s="1">
        <f t="shared" si="100"/>
        <v>1943350.68</v>
      </c>
      <c r="AB223" s="1">
        <f t="shared" si="100"/>
        <v>-179591.62</v>
      </c>
      <c r="AC223" s="1">
        <f t="shared" si="100"/>
        <v>99514.37000000001</v>
      </c>
      <c r="AD223" s="1">
        <f t="shared" si="100"/>
        <v>0</v>
      </c>
      <c r="AE223" s="1">
        <f t="shared" si="100"/>
        <v>0</v>
      </c>
      <c r="AF223" s="1">
        <f t="shared" si="100"/>
        <v>0</v>
      </c>
      <c r="AG223" s="1">
        <f t="shared" si="100"/>
        <v>0</v>
      </c>
      <c r="AH223" s="1">
        <f t="shared" si="100"/>
        <v>0</v>
      </c>
      <c r="AI223" s="1">
        <f t="shared" si="100"/>
        <v>1403543.6400000001</v>
      </c>
      <c r="AJ223" s="1">
        <f t="shared" si="100"/>
        <v>2623464.0299999993</v>
      </c>
      <c r="AK223" s="1">
        <f t="shared" si="100"/>
        <v>2619676.46</v>
      </c>
      <c r="AL223" s="1">
        <f t="shared" si="100"/>
        <v>2258770.7800000003</v>
      </c>
      <c r="AM223" s="1">
        <f t="shared" si="100"/>
        <v>3569855.0600000005</v>
      </c>
      <c r="AN223" s="1">
        <f t="shared" si="100"/>
        <v>1153274.8900000001</v>
      </c>
      <c r="AO223" s="1">
        <f t="shared" si="100"/>
        <v>1845684.33</v>
      </c>
      <c r="AP223" s="1">
        <f t="shared" si="100"/>
        <v>1322622.8500000001</v>
      </c>
      <c r="AQ223" s="1">
        <f t="shared" si="100"/>
        <v>1590113.33</v>
      </c>
      <c r="AR223" s="1">
        <f t="shared" si="100"/>
        <v>1858641.7500000002</v>
      </c>
      <c r="AS223" s="1">
        <f t="shared" si="100"/>
        <v>1273620.5</v>
      </c>
      <c r="AT223" s="1">
        <f t="shared" si="100"/>
        <v>1080570.23</v>
      </c>
      <c r="AU223" s="1">
        <f t="shared" si="100"/>
        <v>3187044.9300000006</v>
      </c>
      <c r="AV223" s="1">
        <f t="shared" si="100"/>
        <v>1718614.68</v>
      </c>
      <c r="AW223" s="1">
        <f t="shared" si="100"/>
        <v>3956491.1799999997</v>
      </c>
      <c r="AX223" s="1">
        <f t="shared" si="100"/>
        <v>764614.8600000001</v>
      </c>
      <c r="AY223" s="1">
        <f t="shared" si="100"/>
        <v>-328829.37000000477</v>
      </c>
      <c r="AZ223" s="1">
        <f t="shared" si="100"/>
        <v>-242504.43999999762</v>
      </c>
      <c r="BA223" s="1">
        <f t="shared" si="100"/>
        <v>674147.92000000179</v>
      </c>
      <c r="BB223" s="1">
        <f t="shared" si="100"/>
        <v>394272.87000000477</v>
      </c>
      <c r="BC223" s="1">
        <f t="shared" si="100"/>
        <v>629230.32999999821</v>
      </c>
      <c r="BD223" s="1">
        <f t="shared" si="100"/>
        <v>20636.769999995828</v>
      </c>
      <c r="BE223" s="1">
        <f t="shared" si="100"/>
        <v>559186.81999999285</v>
      </c>
      <c r="BF223" s="1">
        <f t="shared" si="100"/>
        <v>1158599.2199999988</v>
      </c>
      <c r="BG223" s="1">
        <f t="shared" si="100"/>
        <v>1706977.849999994</v>
      </c>
      <c r="BH223" s="1">
        <f t="shared" si="100"/>
        <v>1191218.1299999952</v>
      </c>
      <c r="BI223" s="1">
        <f t="shared" si="100"/>
        <v>1023068.7400000095</v>
      </c>
      <c r="BJ223" s="1">
        <f t="shared" si="100"/>
        <v>1199664.6200000048</v>
      </c>
      <c r="BK223" s="1">
        <f t="shared" si="100"/>
        <v>459351.38999998569</v>
      </c>
      <c r="BL223" s="1">
        <f t="shared" si="100"/>
        <v>188895.12999999523</v>
      </c>
      <c r="BM223" s="1">
        <f t="shared" si="100"/>
        <v>754536.27000001073</v>
      </c>
      <c r="BN223" s="1">
        <f t="shared" si="100"/>
        <v>444481.68000000715</v>
      </c>
      <c r="BO223" s="1">
        <f t="shared" si="100"/>
        <v>675036.84000000358</v>
      </c>
      <c r="BP223" s="1">
        <f t="shared" si="100"/>
        <v>128856.07999999821</v>
      </c>
      <c r="BQ223" s="1">
        <f t="shared" si="100"/>
        <v>378565.84000000358</v>
      </c>
      <c r="BR223" s="1">
        <f t="shared" si="100"/>
        <v>737407.87999999523</v>
      </c>
      <c r="BS223" s="1">
        <f t="shared" si="100"/>
        <v>1272121.8300000131</v>
      </c>
      <c r="BT223" s="1">
        <f t="shared" si="100"/>
        <v>999474.30000001192</v>
      </c>
      <c r="BU223" s="1">
        <f t="shared" si="100"/>
        <v>388063.65999999642</v>
      </c>
      <c r="BV223" s="1">
        <f t="shared" si="100"/>
        <v>987025.71999999881</v>
      </c>
      <c r="BW223" s="1">
        <f t="shared" si="100"/>
        <v>201891.25</v>
      </c>
      <c r="BX223" s="1">
        <f t="shared" si="100"/>
        <v>-111774.48000000417</v>
      </c>
      <c r="BY223" s="1">
        <f t="shared" si="100"/>
        <v>874278.97999998927</v>
      </c>
      <c r="BZ223" s="1">
        <f t="shared" si="100"/>
        <v>240681.27000001073</v>
      </c>
      <c r="CA223" s="1">
        <f t="shared" si="100"/>
        <v>412824.34999999404</v>
      </c>
      <c r="CB223" s="1">
        <f t="shared" si="100"/>
        <v>238699.21999999881</v>
      </c>
      <c r="CC223" s="1">
        <f t="shared" si="100"/>
        <v>527614.44999998808</v>
      </c>
      <c r="CD223" s="1">
        <f t="shared" si="100"/>
        <v>961948.51999999583</v>
      </c>
      <c r="CE223" s="1">
        <f t="shared" si="100"/>
        <v>1356277.25</v>
      </c>
      <c r="CF223" s="1">
        <f t="shared" si="100"/>
        <v>8034.6899999976158</v>
      </c>
      <c r="CG223" s="1">
        <f t="shared" ref="CG223:DF223" si="101">CG221-CG222</f>
        <v>639773.21000000834</v>
      </c>
      <c r="CH223" s="1">
        <f t="shared" si="101"/>
        <v>-212661.78000000119</v>
      </c>
      <c r="CI223" s="1">
        <f t="shared" si="101"/>
        <v>955192.12999999523</v>
      </c>
      <c r="CJ223" s="1">
        <f t="shared" si="101"/>
        <v>-300522.78999999166</v>
      </c>
      <c r="CK223" s="1">
        <f t="shared" si="101"/>
        <v>314702.53000000119</v>
      </c>
      <c r="CL223" s="1">
        <f t="shared" si="101"/>
        <v>-88619.810000002384</v>
      </c>
      <c r="CM223" s="1">
        <f t="shared" si="101"/>
        <v>406159.83000001311</v>
      </c>
      <c r="CN223" s="1">
        <f t="shared" si="101"/>
        <v>677437.43999999762</v>
      </c>
      <c r="CO223" s="1">
        <f t="shared" si="101"/>
        <v>317238.09999999404</v>
      </c>
      <c r="CP223" s="1">
        <f t="shared" si="101"/>
        <v>543123.81999999285</v>
      </c>
      <c r="CQ223" s="1">
        <f t="shared" si="101"/>
        <v>926458.68000000715</v>
      </c>
      <c r="CR223" s="1">
        <f t="shared" si="101"/>
        <v>438555.37999999523</v>
      </c>
      <c r="CS223" s="1">
        <f t="shared" si="101"/>
        <v>728154.19999998808</v>
      </c>
      <c r="CT223" s="1">
        <f t="shared" si="101"/>
        <v>681233.40000000596</v>
      </c>
      <c r="CU223" s="1">
        <f t="shared" si="101"/>
        <v>521050.84999999404</v>
      </c>
      <c r="CV223" s="1">
        <f t="shared" si="101"/>
        <v>129551.91999998689</v>
      </c>
      <c r="CW223" s="1">
        <f t="shared" si="101"/>
        <v>387532.16999998689</v>
      </c>
      <c r="CX223" s="1">
        <f t="shared" si="101"/>
        <v>535081.56000000238</v>
      </c>
      <c r="CY223" s="1">
        <f t="shared" si="101"/>
        <v>89842.569999992847</v>
      </c>
      <c r="CZ223" s="1">
        <f t="shared" si="101"/>
        <v>208530.92000000179</v>
      </c>
      <c r="DA223" s="1">
        <f t="shared" si="101"/>
        <v>251030.49000000954</v>
      </c>
      <c r="DB223" s="1">
        <f t="shared" si="101"/>
        <v>379114.86000001431</v>
      </c>
      <c r="DC223" s="1">
        <f t="shared" si="101"/>
        <v>641479.75999999046</v>
      </c>
      <c r="DD223" s="1">
        <f t="shared" si="101"/>
        <v>0</v>
      </c>
      <c r="DE223" s="1">
        <f t="shared" si="101"/>
        <v>0</v>
      </c>
      <c r="DF223" s="1">
        <f t="shared" si="101"/>
        <v>0</v>
      </c>
      <c r="DH223" s="6">
        <f t="shared" si="87"/>
        <v>71152700.889999971</v>
      </c>
    </row>
    <row r="224" spans="1:112" x14ac:dyDescent="0.2">
      <c r="A224" s="5" t="s">
        <v>30</v>
      </c>
      <c r="B224" s="5" t="s">
        <v>6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>
        <v>349468.07</v>
      </c>
      <c r="V224" s="1">
        <v>828151.5</v>
      </c>
      <c r="W224" s="1">
        <v>2283864.23</v>
      </c>
      <c r="X224" s="1">
        <v>2233227.2000000002</v>
      </c>
      <c r="Y224" s="1">
        <v>1308295</v>
      </c>
      <c r="Z224" s="1">
        <v>780416.94</v>
      </c>
      <c r="AA224" s="1">
        <v>1943350.68</v>
      </c>
      <c r="AB224" s="1">
        <v>-179591.62</v>
      </c>
      <c r="AC224" s="1">
        <v>99514.37000000001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1403543.6400000001</v>
      </c>
      <c r="AJ224" s="1">
        <v>2623464.0299999993</v>
      </c>
      <c r="AK224" s="1">
        <v>2619676.46</v>
      </c>
      <c r="AL224" s="1">
        <v>2258770.7800000003</v>
      </c>
      <c r="AM224" s="1">
        <v>3569855.0600000005</v>
      </c>
      <c r="AN224" s="1">
        <v>1153274.8900000001</v>
      </c>
      <c r="AO224" s="1">
        <v>1845684.33</v>
      </c>
      <c r="AP224" s="1">
        <v>1322622.8500000001</v>
      </c>
      <c r="AQ224" s="1">
        <v>1590113.33</v>
      </c>
      <c r="AR224" s="1">
        <v>1858641.7500000002</v>
      </c>
      <c r="AS224" s="1">
        <v>1273620.5</v>
      </c>
      <c r="AT224" s="1">
        <v>1080570.23</v>
      </c>
      <c r="AU224" s="1">
        <v>3187044.9300000006</v>
      </c>
      <c r="AV224" s="1">
        <v>1718614.68</v>
      </c>
      <c r="AW224" s="1">
        <v>3956491.1799999997</v>
      </c>
      <c r="AX224" s="1">
        <v>764614.8600000001</v>
      </c>
      <c r="AY224" s="1">
        <v>123810126.06710508</v>
      </c>
      <c r="AZ224" s="1">
        <v>82149598.748000026</v>
      </c>
      <c r="BA224" s="1">
        <v>114956203.66</v>
      </c>
      <c r="BB224" s="1">
        <v>104535898.34994751</v>
      </c>
      <c r="BC224" s="1">
        <v>110418075.3252456</v>
      </c>
      <c r="BD224" s="1">
        <v>72441500.736992985</v>
      </c>
      <c r="BE224" s="1">
        <v>73880416.198737711</v>
      </c>
      <c r="BF224" s="1">
        <v>100760792.58</v>
      </c>
      <c r="BG224" s="1">
        <v>145039866.88750035</v>
      </c>
      <c r="BH224" s="1">
        <v>146845937.08237541</v>
      </c>
      <c r="BI224" s="1">
        <v>149244900.6281611</v>
      </c>
      <c r="BJ224" s="1">
        <v>142969451.15730026</v>
      </c>
      <c r="BK224" s="1">
        <v>149886748.56</v>
      </c>
      <c r="BL224" s="1">
        <v>108470835.02749434</v>
      </c>
      <c r="BM224" s="1">
        <v>163582116.31408814</v>
      </c>
      <c r="BN224" s="1">
        <v>139265045.2094211</v>
      </c>
      <c r="BO224" s="1">
        <v>152643135.11520588</v>
      </c>
      <c r="BP224" s="1">
        <v>103956639.67059904</v>
      </c>
      <c r="BQ224" s="1">
        <v>105510883.41239697</v>
      </c>
      <c r="BR224" s="1">
        <v>99241792.77050519</v>
      </c>
      <c r="BS224" s="1">
        <v>166834225.65173349</v>
      </c>
      <c r="BT224" s="1">
        <v>167327703.72892961</v>
      </c>
      <c r="BU224" s="1">
        <v>151291344.72000003</v>
      </c>
      <c r="BV224" s="1">
        <v>189287145.95000005</v>
      </c>
      <c r="BW224" s="1">
        <v>211706706.12472731</v>
      </c>
      <c r="BX224" s="1">
        <v>131315620.94846192</v>
      </c>
      <c r="BY224" s="1">
        <v>152553937.44840503</v>
      </c>
      <c r="BZ224" s="1">
        <v>184032347.34039208</v>
      </c>
      <c r="CA224" s="1">
        <v>203760343.36179858</v>
      </c>
      <c r="CB224" s="1">
        <v>134169779</v>
      </c>
      <c r="CC224" s="1">
        <v>140856540.05044198</v>
      </c>
      <c r="CD224" s="1">
        <v>125961724.11000504</v>
      </c>
      <c r="CE224" s="1">
        <v>206067212.07980797</v>
      </c>
      <c r="CF224" s="1">
        <v>176354953.18999997</v>
      </c>
      <c r="CG224" s="1">
        <v>232209891.32999101</v>
      </c>
      <c r="CH224" s="1">
        <v>150154371.83927894</v>
      </c>
      <c r="CI224" s="1">
        <v>248001821.16907096</v>
      </c>
      <c r="CJ224" s="1">
        <v>184512124.78998101</v>
      </c>
      <c r="CK224" s="1">
        <v>162142923.54001004</v>
      </c>
      <c r="CL224" s="1">
        <v>192616927.17993808</v>
      </c>
      <c r="CM224" s="1">
        <v>249312914.29198337</v>
      </c>
      <c r="CN224" s="1">
        <v>207187605.60701182</v>
      </c>
      <c r="CO224" s="1">
        <v>155878072.99449193</v>
      </c>
      <c r="CP224" s="1">
        <v>178753562.89400861</v>
      </c>
      <c r="CQ224" s="1">
        <v>194683313.56999996</v>
      </c>
      <c r="CR224" s="1">
        <v>239184304.82000002</v>
      </c>
      <c r="CS224" s="1">
        <v>281284388.03200001</v>
      </c>
      <c r="CT224" s="1">
        <v>260359335.13000333</v>
      </c>
      <c r="CU224" s="1">
        <v>251150748.95290002</v>
      </c>
      <c r="CV224" s="1">
        <v>175958437.04589993</v>
      </c>
      <c r="CW224" s="1">
        <v>217673121.62999997</v>
      </c>
      <c r="CX224" s="1">
        <v>244662586.64649996</v>
      </c>
      <c r="CY224" s="1">
        <v>204251663.40929991</v>
      </c>
      <c r="CZ224" s="1">
        <v>116972691.99919996</v>
      </c>
      <c r="DA224" s="1">
        <v>214616847.27000004</v>
      </c>
      <c r="DB224" s="1">
        <v>168855448.95410001</v>
      </c>
      <c r="DC224" s="1">
        <v>149549010.43599999</v>
      </c>
      <c r="DD224" s="1">
        <v>0</v>
      </c>
      <c r="DE224" s="1">
        <v>0</v>
      </c>
      <c r="DF224" s="1">
        <v>0</v>
      </c>
      <c r="DH224" s="6">
        <f t="shared" si="87"/>
        <v>9452974960.6074505</v>
      </c>
    </row>
    <row r="225" spans="1:112" x14ac:dyDescent="0.2">
      <c r="A225" s="5" t="s">
        <v>30</v>
      </c>
      <c r="B225" s="5" t="s">
        <v>7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>
        <v>34946.807000000001</v>
      </c>
      <c r="V225" s="1">
        <v>82815.150000000009</v>
      </c>
      <c r="W225" s="1">
        <v>228386.42300000001</v>
      </c>
      <c r="X225" s="1">
        <v>223322.72000000003</v>
      </c>
      <c r="Y225" s="1">
        <v>130829.5</v>
      </c>
      <c r="Z225" s="1">
        <v>78041.694000000003</v>
      </c>
      <c r="AA225" s="1">
        <v>194335.068</v>
      </c>
      <c r="AB225" s="1">
        <v>-17959.162</v>
      </c>
      <c r="AC225" s="1">
        <v>9951.4370000000017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140354.36400000003</v>
      </c>
      <c r="AJ225" s="1">
        <v>262346.40299999993</v>
      </c>
      <c r="AK225" s="1">
        <v>261967.64600000001</v>
      </c>
      <c r="AL225" s="1">
        <v>225877.07800000004</v>
      </c>
      <c r="AM225" s="1">
        <v>356985.50600000005</v>
      </c>
      <c r="AN225" s="1">
        <v>115327.48900000002</v>
      </c>
      <c r="AO225" s="1">
        <v>184568.43300000002</v>
      </c>
      <c r="AP225" s="1">
        <v>132262.285</v>
      </c>
      <c r="AQ225" s="1">
        <v>159011.33300000001</v>
      </c>
      <c r="AR225" s="1">
        <v>185864.17500000005</v>
      </c>
      <c r="AS225" s="1">
        <v>127362.05</v>
      </c>
      <c r="AT225" s="1">
        <v>108057.023</v>
      </c>
      <c r="AU225" s="1">
        <v>318704.49300000007</v>
      </c>
      <c r="AV225" s="1">
        <v>171861.46799999999</v>
      </c>
      <c r="AW225" s="1">
        <v>395649.11800000002</v>
      </c>
      <c r="AX225" s="1">
        <v>76461.486000000019</v>
      </c>
      <c r="AY225" s="1">
        <v>63277984.335923597</v>
      </c>
      <c r="AZ225" s="1">
        <v>41995722.181880012</v>
      </c>
      <c r="BA225" s="1">
        <v>58351263.219400004</v>
      </c>
      <c r="BB225" s="1">
        <v>53151656.281773232</v>
      </c>
      <c r="BC225" s="1">
        <v>56055233.980575256</v>
      </c>
      <c r="BD225" s="1">
        <v>36936704.300166428</v>
      </c>
      <c r="BE225" s="1">
        <v>37449745.66515623</v>
      </c>
      <c r="BF225" s="1">
        <v>50912978.535599999</v>
      </c>
      <c r="BG225" s="1">
        <v>73270471.194125175</v>
      </c>
      <c r="BH225" s="1">
        <v>74403028.478711456</v>
      </c>
      <c r="BI225" s="1">
        <v>75695441.13696216</v>
      </c>
      <c r="BJ225" s="1">
        <v>72422557.596023127</v>
      </c>
      <c r="BK225" s="1">
        <v>76253907.695700005</v>
      </c>
      <c r="BL225" s="1">
        <v>55242678.860722117</v>
      </c>
      <c r="BM225" s="1">
        <v>83117519.449484944</v>
      </c>
      <c r="BN225" s="1">
        <v>70842935.568004757</v>
      </c>
      <c r="BO225" s="1">
        <v>77571233.804354995</v>
      </c>
      <c r="BP225" s="1">
        <v>52965055.239205517</v>
      </c>
      <c r="BQ225" s="1">
        <v>53655338.545922451</v>
      </c>
      <c r="BR225" s="1">
        <v>50310977.082157649</v>
      </c>
      <c r="BS225" s="1">
        <v>84563885.132084072</v>
      </c>
      <c r="BT225" s="1">
        <v>84927344.438754097</v>
      </c>
      <c r="BU225" s="1">
        <v>76999479.70660001</v>
      </c>
      <c r="BV225" s="1">
        <v>96131763.889300019</v>
      </c>
      <c r="BW225" s="1">
        <v>107887644.71111093</v>
      </c>
      <c r="BX225" s="1">
        <v>67016794.220515586</v>
      </c>
      <c r="BY225" s="1">
        <v>77444053.71688658</v>
      </c>
      <c r="BZ225" s="1">
        <v>93757817.822899967</v>
      </c>
      <c r="CA225" s="1">
        <v>103748517.13101728</v>
      </c>
      <c r="CB225" s="1">
        <v>68328720.609800011</v>
      </c>
      <c r="CC225" s="1">
        <v>71620801.071225405</v>
      </c>
      <c r="CD225" s="1">
        <v>63846495.552902572</v>
      </c>
      <c r="CE225" s="1">
        <v>104538204.48820207</v>
      </c>
      <c r="CF225" s="1">
        <v>89937731.903999984</v>
      </c>
      <c r="CG225" s="1">
        <v>118164737.56219541</v>
      </c>
      <c r="CH225" s="1">
        <v>76831464.727832258</v>
      </c>
      <c r="CI225" s="1">
        <v>149118073.9729262</v>
      </c>
      <c r="CJ225" s="1">
        <v>94224397.986790314</v>
      </c>
      <c r="CK225" s="1">
        <v>82563862.968105122</v>
      </c>
      <c r="CL225" s="1">
        <v>98270966.98386842</v>
      </c>
      <c r="CM225" s="1">
        <v>126983060.7586115</v>
      </c>
      <c r="CN225" s="1">
        <v>105387929.50917603</v>
      </c>
      <c r="CO225" s="1">
        <v>79367749.60619089</v>
      </c>
      <c r="CP225" s="1">
        <v>90941636.309744388</v>
      </c>
      <c r="CQ225" s="1">
        <v>98908641.861899987</v>
      </c>
      <c r="CR225" s="1">
        <v>121804187.75240003</v>
      </c>
      <c r="CS225" s="1">
        <v>143156494.67432001</v>
      </c>
      <c r="CT225" s="1">
        <v>132503955.22230171</v>
      </c>
      <c r="CU225" s="1">
        <v>127873251.11747901</v>
      </c>
      <c r="CV225" s="1">
        <v>89685686.60620898</v>
      </c>
      <c r="CW225" s="1">
        <v>110854403.84159999</v>
      </c>
      <c r="CX225" s="1">
        <v>124558535.75011498</v>
      </c>
      <c r="CY225" s="1">
        <v>104131512.88504297</v>
      </c>
      <c r="CZ225" s="1">
        <v>59570575.242391981</v>
      </c>
      <c r="DA225" s="1">
        <v>109351669.60680002</v>
      </c>
      <c r="DB225" s="1">
        <v>85960841.873990998</v>
      </c>
      <c r="DC225" s="1">
        <v>76006988.620759994</v>
      </c>
      <c r="DD225" s="1">
        <v>0</v>
      </c>
      <c r="DE225" s="1">
        <v>0</v>
      </c>
      <c r="DF225" s="1">
        <v>0</v>
      </c>
      <c r="DH225" s="6">
        <f t="shared" si="87"/>
        <v>4815039642.9748983</v>
      </c>
    </row>
    <row r="226" spans="1:112" x14ac:dyDescent="0.2">
      <c r="A226" s="5" t="str">
        <f>A225</f>
        <v>NY</v>
      </c>
      <c r="B226" s="5" t="s">
        <v>41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H226" s="6">
        <f t="shared" si="87"/>
        <v>0</v>
      </c>
    </row>
    <row r="227" spans="1:112" x14ac:dyDescent="0.2">
      <c r="A227" s="5" t="s">
        <v>31</v>
      </c>
      <c r="B227" s="5" t="s">
        <v>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>
        <v>1114294278</v>
      </c>
      <c r="BL227" s="1">
        <v>640026134</v>
      </c>
      <c r="BM227" s="1">
        <v>738606908</v>
      </c>
      <c r="BN227" s="1">
        <v>521703369</v>
      </c>
      <c r="BO227" s="1">
        <v>447477035</v>
      </c>
      <c r="BP227" s="1">
        <v>363065112</v>
      </c>
      <c r="BQ227" s="1">
        <v>331944263</v>
      </c>
      <c r="BR227" s="1">
        <v>379530353</v>
      </c>
      <c r="BS227" s="1">
        <v>691660431</v>
      </c>
      <c r="BT227" s="1">
        <v>747722089</v>
      </c>
      <c r="BU227" s="1">
        <v>865467240</v>
      </c>
      <c r="BV227" s="1">
        <v>831125486</v>
      </c>
      <c r="BW227" s="1">
        <v>811594052</v>
      </c>
      <c r="BX227" s="1">
        <v>671992052</v>
      </c>
      <c r="BY227" s="1">
        <v>809347938</v>
      </c>
      <c r="BZ227" s="1">
        <v>674161449</v>
      </c>
      <c r="CA227" s="1">
        <v>612651638</v>
      </c>
      <c r="CB227" s="1">
        <v>530621518</v>
      </c>
      <c r="CC227" s="1">
        <v>477476776</v>
      </c>
      <c r="CD227" s="1">
        <v>548677570</v>
      </c>
      <c r="CE227" s="1">
        <v>864256371</v>
      </c>
      <c r="CF227" s="1">
        <v>902902897</v>
      </c>
      <c r="CG227" s="1">
        <v>1025738190</v>
      </c>
      <c r="CH227" s="1">
        <v>964442625</v>
      </c>
      <c r="CI227" s="1">
        <v>1012283327</v>
      </c>
      <c r="CJ227" s="1">
        <v>761606417</v>
      </c>
      <c r="CK227" s="1">
        <v>993010710</v>
      </c>
      <c r="CL227" s="1">
        <v>808201354</v>
      </c>
      <c r="CM227" s="1">
        <v>742224139</v>
      </c>
      <c r="CN227" s="1">
        <v>586873383</v>
      </c>
      <c r="CO227" s="1">
        <v>532588622</v>
      </c>
      <c r="CP227" s="1">
        <v>663174153</v>
      </c>
      <c r="CQ227" s="1">
        <v>967403547</v>
      </c>
      <c r="CR227" s="1">
        <v>1135493631</v>
      </c>
      <c r="CS227" s="1">
        <v>1153750911</v>
      </c>
      <c r="CT227" s="1">
        <v>954792260</v>
      </c>
      <c r="CU227" s="1">
        <v>931578583</v>
      </c>
      <c r="CV227" s="1">
        <v>767811186</v>
      </c>
      <c r="CW227" s="1">
        <v>963450141</v>
      </c>
      <c r="CX227" s="1">
        <v>800423827</v>
      </c>
      <c r="CY227" s="1">
        <v>744448593</v>
      </c>
      <c r="CZ227" s="1">
        <v>659125827</v>
      </c>
      <c r="DA227" s="1">
        <v>624863886</v>
      </c>
      <c r="DB227" s="1">
        <v>637576426</v>
      </c>
      <c r="DC227" s="1">
        <v>0</v>
      </c>
      <c r="DD227" s="1">
        <v>0</v>
      </c>
      <c r="DE227" s="1">
        <v>0</v>
      </c>
      <c r="DF227" s="1">
        <v>0</v>
      </c>
      <c r="DH227" s="6">
        <f t="shared" si="87"/>
        <v>33007166697</v>
      </c>
    </row>
    <row r="228" spans="1:112" x14ac:dyDescent="0.2">
      <c r="A228" s="5" t="s">
        <v>31</v>
      </c>
      <c r="B228" s="5" t="s">
        <v>42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>
        <v>1090457751</v>
      </c>
      <c r="BL228" s="1">
        <v>621342346</v>
      </c>
      <c r="BM228" s="1">
        <v>715293710</v>
      </c>
      <c r="BN228" s="1">
        <v>505642882</v>
      </c>
      <c r="BO228" s="1">
        <v>430671033</v>
      </c>
      <c r="BP228" s="1">
        <v>348375618</v>
      </c>
      <c r="BQ228" s="1">
        <v>319581933</v>
      </c>
      <c r="BR228" s="1">
        <v>364332180</v>
      </c>
      <c r="BS228" s="1">
        <v>668022690</v>
      </c>
      <c r="BT228" s="1">
        <v>724208900</v>
      </c>
      <c r="BU228" s="1">
        <v>841117069</v>
      </c>
      <c r="BV228" s="1">
        <v>809748959</v>
      </c>
      <c r="BW228" s="1">
        <v>792061204</v>
      </c>
      <c r="BX228" s="1">
        <v>657725245</v>
      </c>
      <c r="BY228" s="1">
        <v>784782959</v>
      </c>
      <c r="BZ228" s="1">
        <v>657085444</v>
      </c>
      <c r="CA228" s="1">
        <v>595228863</v>
      </c>
      <c r="CB228" s="1">
        <v>516106443</v>
      </c>
      <c r="CC228" s="1">
        <v>466646407</v>
      </c>
      <c r="CD228" s="1">
        <v>534881912</v>
      </c>
      <c r="CE228" s="1">
        <v>842350399</v>
      </c>
      <c r="CF228" s="1">
        <v>881729955</v>
      </c>
      <c r="CG228" s="1">
        <v>1003442126</v>
      </c>
      <c r="CH228" s="1">
        <v>943951007</v>
      </c>
      <c r="CI228" s="1">
        <v>992185583</v>
      </c>
      <c r="CJ228" s="1">
        <v>748399580</v>
      </c>
      <c r="CK228" s="1">
        <v>972852637</v>
      </c>
      <c r="CL228" s="1">
        <v>794762003</v>
      </c>
      <c r="CM228" s="1">
        <v>727136035</v>
      </c>
      <c r="CN228" s="1">
        <v>567430173</v>
      </c>
      <c r="CO228" s="1">
        <v>522306738</v>
      </c>
      <c r="CP228" s="1">
        <v>651126601</v>
      </c>
      <c r="CQ228" s="1">
        <v>949939676</v>
      </c>
      <c r="CR228" s="1">
        <v>1117866796</v>
      </c>
      <c r="CS228" s="1">
        <v>1135756654</v>
      </c>
      <c r="CT228" s="1">
        <v>932195585</v>
      </c>
      <c r="CU228" s="1">
        <v>917625955</v>
      </c>
      <c r="CV228" s="1">
        <v>757213689</v>
      </c>
      <c r="CW228" s="1">
        <v>950186049</v>
      </c>
      <c r="CX228" s="1">
        <v>786040200</v>
      </c>
      <c r="CY228" s="1">
        <v>733126999</v>
      </c>
      <c r="CZ228" s="1">
        <v>651024286</v>
      </c>
      <c r="DA228" s="1">
        <v>617111352</v>
      </c>
      <c r="DB228" s="1">
        <v>629448004</v>
      </c>
      <c r="DC228" s="1">
        <v>0</v>
      </c>
      <c r="DD228" s="1">
        <v>0</v>
      </c>
      <c r="DE228" s="1">
        <v>0</v>
      </c>
      <c r="DF228" s="1">
        <v>0</v>
      </c>
      <c r="DH228" s="6">
        <f t="shared" si="87"/>
        <v>32268521630</v>
      </c>
    </row>
    <row r="229" spans="1:112" x14ac:dyDescent="0.2">
      <c r="A229" s="5" t="s">
        <v>31</v>
      </c>
      <c r="B229" s="5" t="s">
        <v>43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>
        <f t="shared" ref="BK229:DF229" si="102">BK227-BK228</f>
        <v>23836527</v>
      </c>
      <c r="BL229" s="1">
        <f t="shared" si="102"/>
        <v>18683788</v>
      </c>
      <c r="BM229" s="1">
        <f t="shared" si="102"/>
        <v>23313198</v>
      </c>
      <c r="BN229" s="1">
        <f t="shared" si="102"/>
        <v>16060487</v>
      </c>
      <c r="BO229" s="1">
        <f t="shared" si="102"/>
        <v>16806002</v>
      </c>
      <c r="BP229" s="1">
        <f t="shared" si="102"/>
        <v>14689494</v>
      </c>
      <c r="BQ229" s="1">
        <f t="shared" si="102"/>
        <v>12362330</v>
      </c>
      <c r="BR229" s="1">
        <f t="shared" si="102"/>
        <v>15198173</v>
      </c>
      <c r="BS229" s="1">
        <f t="shared" si="102"/>
        <v>23637741</v>
      </c>
      <c r="BT229" s="1">
        <f t="shared" si="102"/>
        <v>23513189</v>
      </c>
      <c r="BU229" s="1">
        <f t="shared" si="102"/>
        <v>24350171</v>
      </c>
      <c r="BV229" s="1">
        <f t="shared" si="102"/>
        <v>21376527</v>
      </c>
      <c r="BW229" s="1">
        <f t="shared" si="102"/>
        <v>19532848</v>
      </c>
      <c r="BX229" s="1">
        <f t="shared" si="102"/>
        <v>14266807</v>
      </c>
      <c r="BY229" s="1">
        <f t="shared" si="102"/>
        <v>24564979</v>
      </c>
      <c r="BZ229" s="1">
        <f t="shared" si="102"/>
        <v>17076005</v>
      </c>
      <c r="CA229" s="1">
        <f t="shared" si="102"/>
        <v>17422775</v>
      </c>
      <c r="CB229" s="1">
        <f t="shared" si="102"/>
        <v>14515075</v>
      </c>
      <c r="CC229" s="1">
        <f t="shared" si="102"/>
        <v>10830369</v>
      </c>
      <c r="CD229" s="1">
        <f t="shared" si="102"/>
        <v>13795658</v>
      </c>
      <c r="CE229" s="1">
        <f t="shared" si="102"/>
        <v>21905972</v>
      </c>
      <c r="CF229" s="1">
        <f t="shared" si="102"/>
        <v>21172942</v>
      </c>
      <c r="CG229" s="1">
        <f t="shared" si="102"/>
        <v>22296064</v>
      </c>
      <c r="CH229" s="1">
        <f t="shared" si="102"/>
        <v>20491618</v>
      </c>
      <c r="CI229" s="1">
        <f t="shared" si="102"/>
        <v>20097744</v>
      </c>
      <c r="CJ229" s="1">
        <f t="shared" si="102"/>
        <v>13206837</v>
      </c>
      <c r="CK229" s="1">
        <f t="shared" si="102"/>
        <v>20158073</v>
      </c>
      <c r="CL229" s="1">
        <f t="shared" si="102"/>
        <v>13439351</v>
      </c>
      <c r="CM229" s="1">
        <f t="shared" si="102"/>
        <v>15088104</v>
      </c>
      <c r="CN229" s="1">
        <f t="shared" si="102"/>
        <v>19443210</v>
      </c>
      <c r="CO229" s="1">
        <f t="shared" si="102"/>
        <v>10281884</v>
      </c>
      <c r="CP229" s="1">
        <f t="shared" si="102"/>
        <v>12047552</v>
      </c>
      <c r="CQ229" s="1">
        <f t="shared" si="102"/>
        <v>17463871</v>
      </c>
      <c r="CR229" s="1">
        <f t="shared" si="102"/>
        <v>17626835</v>
      </c>
      <c r="CS229" s="1">
        <f t="shared" si="102"/>
        <v>17994257</v>
      </c>
      <c r="CT229" s="1">
        <f t="shared" si="102"/>
        <v>22596675</v>
      </c>
      <c r="CU229" s="1">
        <f t="shared" si="102"/>
        <v>13952628</v>
      </c>
      <c r="CV229" s="1">
        <f t="shared" si="102"/>
        <v>10597497</v>
      </c>
      <c r="CW229" s="1">
        <f t="shared" si="102"/>
        <v>13264092</v>
      </c>
      <c r="CX229" s="1">
        <f t="shared" si="102"/>
        <v>14383627</v>
      </c>
      <c r="CY229" s="1">
        <f t="shared" si="102"/>
        <v>11321594</v>
      </c>
      <c r="CZ229" s="1">
        <f t="shared" si="102"/>
        <v>8101541</v>
      </c>
      <c r="DA229" s="1">
        <f t="shared" si="102"/>
        <v>7752534</v>
      </c>
      <c r="DB229" s="1">
        <f t="shared" si="102"/>
        <v>8128422</v>
      </c>
      <c r="DC229" s="1">
        <f t="shared" si="102"/>
        <v>0</v>
      </c>
      <c r="DD229" s="1">
        <f t="shared" si="102"/>
        <v>0</v>
      </c>
      <c r="DE229" s="1">
        <f t="shared" si="102"/>
        <v>0</v>
      </c>
      <c r="DF229" s="1">
        <f t="shared" si="102"/>
        <v>0</v>
      </c>
      <c r="DH229" s="6">
        <f t="shared" si="87"/>
        <v>738645067</v>
      </c>
    </row>
    <row r="230" spans="1:112" x14ac:dyDescent="0.2">
      <c r="A230" s="5" t="s">
        <v>31</v>
      </c>
      <c r="B230" s="5" t="s">
        <v>5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>
        <v>209706723</v>
      </c>
      <c r="BL230" s="1">
        <v>81010752</v>
      </c>
      <c r="BM230" s="1">
        <v>94989590</v>
      </c>
      <c r="BN230" s="1">
        <v>63378316</v>
      </c>
      <c r="BO230" s="1">
        <v>57947814</v>
      </c>
      <c r="BP230" s="1">
        <v>32662111</v>
      </c>
      <c r="BQ230" s="1">
        <v>37268938</v>
      </c>
      <c r="BR230" s="1">
        <v>40781761</v>
      </c>
      <c r="BS230" s="1">
        <v>81637889</v>
      </c>
      <c r="BT230" s="1">
        <v>80391424</v>
      </c>
      <c r="BU230" s="1">
        <v>67853917</v>
      </c>
      <c r="BV230" s="1">
        <v>87233959</v>
      </c>
      <c r="BW230" s="1">
        <v>113349065</v>
      </c>
      <c r="BX230" s="1">
        <v>66361557</v>
      </c>
      <c r="BY230" s="1">
        <v>63852786</v>
      </c>
      <c r="BZ230" s="1">
        <v>74025745</v>
      </c>
      <c r="CA230" s="1">
        <v>67362567</v>
      </c>
      <c r="CB230" s="1">
        <v>51262547</v>
      </c>
      <c r="CC230" s="1">
        <v>55161661</v>
      </c>
      <c r="CD230" s="1">
        <v>48647690</v>
      </c>
      <c r="CE230" s="1">
        <v>105757779</v>
      </c>
      <c r="CF230" s="1">
        <v>81272763</v>
      </c>
      <c r="CG230" s="1">
        <v>117056593</v>
      </c>
      <c r="CH230" s="1">
        <v>55544555</v>
      </c>
      <c r="CI230" s="1">
        <v>80235725</v>
      </c>
      <c r="CJ230" s="1">
        <v>75312691</v>
      </c>
      <c r="CK230" s="1">
        <v>66527136</v>
      </c>
      <c r="CL230" s="1">
        <v>73758716</v>
      </c>
      <c r="CM230" s="1">
        <v>88946293</v>
      </c>
      <c r="CN230" s="1">
        <v>75034399</v>
      </c>
      <c r="CO230" s="1">
        <v>60270591</v>
      </c>
      <c r="CP230" s="1">
        <v>72675446</v>
      </c>
      <c r="CQ230" s="1">
        <v>77761430</v>
      </c>
      <c r="CR230" s="1">
        <v>98229538</v>
      </c>
      <c r="CS230" s="1">
        <v>133100461</v>
      </c>
      <c r="CT230" s="1">
        <v>137975700</v>
      </c>
      <c r="CU230" s="1">
        <v>99671945</v>
      </c>
      <c r="CV230" s="1">
        <v>69789116</v>
      </c>
      <c r="CW230" s="1">
        <v>87924708</v>
      </c>
      <c r="CX230" s="1">
        <v>89209634</v>
      </c>
      <c r="CY230" s="1">
        <v>88541037</v>
      </c>
      <c r="CZ230" s="1">
        <v>68900138</v>
      </c>
      <c r="DA230" s="1">
        <v>67304667</v>
      </c>
      <c r="DB230" s="1">
        <v>58331560</v>
      </c>
      <c r="DC230" s="1">
        <v>0</v>
      </c>
      <c r="DD230" s="1">
        <v>0</v>
      </c>
      <c r="DE230" s="1">
        <v>0</v>
      </c>
      <c r="DF230" s="1">
        <v>0</v>
      </c>
      <c r="DH230" s="6">
        <f t="shared" si="87"/>
        <v>3504019433</v>
      </c>
    </row>
    <row r="231" spans="1:112" x14ac:dyDescent="0.2">
      <c r="A231" s="5" t="s">
        <v>31</v>
      </c>
      <c r="B231" s="5" t="s">
        <v>44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>
        <v>206093481</v>
      </c>
      <c r="BL231" s="1">
        <v>80112682</v>
      </c>
      <c r="BM231" s="1">
        <v>92001626</v>
      </c>
      <c r="BN231" s="1">
        <v>61794249</v>
      </c>
      <c r="BO231" s="1">
        <v>55936228</v>
      </c>
      <c r="BP231" s="1">
        <v>32057480</v>
      </c>
      <c r="BQ231" s="1">
        <v>35914671</v>
      </c>
      <c r="BR231" s="1">
        <v>39355857</v>
      </c>
      <c r="BS231" s="1">
        <v>79381057</v>
      </c>
      <c r="BT231" s="1">
        <v>78134615</v>
      </c>
      <c r="BU231" s="1">
        <v>66607946</v>
      </c>
      <c r="BV231" s="1">
        <v>84217005</v>
      </c>
      <c r="BW231" s="1">
        <v>110623861</v>
      </c>
      <c r="BX231" s="1">
        <v>66393953</v>
      </c>
      <c r="BY231" s="1">
        <v>62134924</v>
      </c>
      <c r="BZ231" s="1">
        <v>72798404</v>
      </c>
      <c r="CA231" s="1">
        <v>66051615</v>
      </c>
      <c r="CB231" s="1">
        <v>50488548</v>
      </c>
      <c r="CC231" s="1">
        <v>53503567</v>
      </c>
      <c r="CD231" s="1">
        <v>46649406</v>
      </c>
      <c r="CE231" s="1">
        <v>102419019</v>
      </c>
      <c r="CF231" s="1">
        <v>80134920</v>
      </c>
      <c r="CG231" s="1">
        <v>114203489</v>
      </c>
      <c r="CH231" s="1">
        <v>56612993</v>
      </c>
      <c r="CI231" s="1">
        <v>80470686</v>
      </c>
      <c r="CJ231" s="1">
        <v>74891739</v>
      </c>
      <c r="CK231" s="1">
        <v>64177745</v>
      </c>
      <c r="CL231" s="1">
        <v>74052416</v>
      </c>
      <c r="CM231" s="1">
        <v>87073568</v>
      </c>
      <c r="CN231" s="1">
        <v>74943288</v>
      </c>
      <c r="CO231" s="1">
        <v>58833932</v>
      </c>
      <c r="CP231" s="1">
        <v>70719624</v>
      </c>
      <c r="CQ231" s="1">
        <v>76693646</v>
      </c>
      <c r="CR231" s="1">
        <v>96471133</v>
      </c>
      <c r="CS231" s="1">
        <v>131213852</v>
      </c>
      <c r="CT231" s="1">
        <v>135238509</v>
      </c>
      <c r="CU231" s="1">
        <v>98331082</v>
      </c>
      <c r="CV231" s="1">
        <v>69385382</v>
      </c>
      <c r="CW231" s="1">
        <v>86418870</v>
      </c>
      <c r="CX231" s="1">
        <v>88438307</v>
      </c>
      <c r="CY231" s="1">
        <v>87249478</v>
      </c>
      <c r="CZ231" s="1">
        <v>67847072</v>
      </c>
      <c r="DA231" s="1">
        <v>66527048</v>
      </c>
      <c r="DB231" s="1">
        <v>57346227</v>
      </c>
      <c r="DC231" s="1">
        <v>0</v>
      </c>
      <c r="DD231" s="1">
        <v>0</v>
      </c>
      <c r="DE231" s="1">
        <v>0</v>
      </c>
      <c r="DF231" s="1">
        <v>0</v>
      </c>
      <c r="DH231" s="6">
        <f t="shared" si="87"/>
        <v>3439945200</v>
      </c>
    </row>
    <row r="232" spans="1:112" x14ac:dyDescent="0.2">
      <c r="A232" s="5" t="s">
        <v>31</v>
      </c>
      <c r="B232" s="5" t="s">
        <v>45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>
        <f t="shared" ref="BK232:DF232" si="103">BK230-BK231</f>
        <v>3613242</v>
      </c>
      <c r="BL232" s="1">
        <f t="shared" si="103"/>
        <v>898070</v>
      </c>
      <c r="BM232" s="1">
        <f t="shared" si="103"/>
        <v>2987964</v>
      </c>
      <c r="BN232" s="1">
        <f t="shared" si="103"/>
        <v>1584067</v>
      </c>
      <c r="BO232" s="1">
        <f t="shared" si="103"/>
        <v>2011586</v>
      </c>
      <c r="BP232" s="1">
        <f t="shared" si="103"/>
        <v>604631</v>
      </c>
      <c r="BQ232" s="1">
        <f t="shared" si="103"/>
        <v>1354267</v>
      </c>
      <c r="BR232" s="1">
        <f t="shared" si="103"/>
        <v>1425904</v>
      </c>
      <c r="BS232" s="1">
        <f t="shared" si="103"/>
        <v>2256832</v>
      </c>
      <c r="BT232" s="1">
        <f t="shared" si="103"/>
        <v>2256809</v>
      </c>
      <c r="BU232" s="1">
        <f t="shared" si="103"/>
        <v>1245971</v>
      </c>
      <c r="BV232" s="1">
        <f t="shared" si="103"/>
        <v>3016954</v>
      </c>
      <c r="BW232" s="1">
        <f t="shared" si="103"/>
        <v>2725204</v>
      </c>
      <c r="BX232" s="1">
        <f t="shared" si="103"/>
        <v>-32396</v>
      </c>
      <c r="BY232" s="1">
        <f t="shared" si="103"/>
        <v>1717862</v>
      </c>
      <c r="BZ232" s="1">
        <f t="shared" si="103"/>
        <v>1227341</v>
      </c>
      <c r="CA232" s="1">
        <f t="shared" si="103"/>
        <v>1310952</v>
      </c>
      <c r="CB232" s="1">
        <f t="shared" si="103"/>
        <v>773999</v>
      </c>
      <c r="CC232" s="1">
        <f t="shared" si="103"/>
        <v>1658094</v>
      </c>
      <c r="CD232" s="1">
        <f t="shared" si="103"/>
        <v>1998284</v>
      </c>
      <c r="CE232" s="1">
        <f t="shared" si="103"/>
        <v>3338760</v>
      </c>
      <c r="CF232" s="1">
        <f t="shared" si="103"/>
        <v>1137843</v>
      </c>
      <c r="CG232" s="1">
        <f t="shared" si="103"/>
        <v>2853104</v>
      </c>
      <c r="CH232" s="1">
        <f t="shared" si="103"/>
        <v>-1068438</v>
      </c>
      <c r="CI232" s="1">
        <f t="shared" si="103"/>
        <v>-234961</v>
      </c>
      <c r="CJ232" s="1">
        <f t="shared" si="103"/>
        <v>420952</v>
      </c>
      <c r="CK232" s="1">
        <f t="shared" si="103"/>
        <v>2349391</v>
      </c>
      <c r="CL232" s="1">
        <f t="shared" si="103"/>
        <v>-293700</v>
      </c>
      <c r="CM232" s="1">
        <f t="shared" si="103"/>
        <v>1872725</v>
      </c>
      <c r="CN232" s="1">
        <f t="shared" si="103"/>
        <v>91111</v>
      </c>
      <c r="CO232" s="1">
        <f t="shared" si="103"/>
        <v>1436659</v>
      </c>
      <c r="CP232" s="1">
        <f t="shared" si="103"/>
        <v>1955822</v>
      </c>
      <c r="CQ232" s="1">
        <f t="shared" si="103"/>
        <v>1067784</v>
      </c>
      <c r="CR232" s="1">
        <f t="shared" si="103"/>
        <v>1758405</v>
      </c>
      <c r="CS232" s="1">
        <f t="shared" si="103"/>
        <v>1886609</v>
      </c>
      <c r="CT232" s="1">
        <f t="shared" si="103"/>
        <v>2737191</v>
      </c>
      <c r="CU232" s="1">
        <f t="shared" si="103"/>
        <v>1340863</v>
      </c>
      <c r="CV232" s="1">
        <f t="shared" si="103"/>
        <v>403734</v>
      </c>
      <c r="CW232" s="1">
        <f t="shared" si="103"/>
        <v>1505838</v>
      </c>
      <c r="CX232" s="1">
        <f t="shared" si="103"/>
        <v>771327</v>
      </c>
      <c r="CY232" s="1">
        <f t="shared" si="103"/>
        <v>1291559</v>
      </c>
      <c r="CZ232" s="1">
        <f t="shared" si="103"/>
        <v>1053066</v>
      </c>
      <c r="DA232" s="1">
        <f t="shared" si="103"/>
        <v>777619</v>
      </c>
      <c r="DB232" s="1">
        <f t="shared" si="103"/>
        <v>985333</v>
      </c>
      <c r="DC232" s="1">
        <f t="shared" si="103"/>
        <v>0</v>
      </c>
      <c r="DD232" s="1">
        <f t="shared" si="103"/>
        <v>0</v>
      </c>
      <c r="DE232" s="1">
        <f t="shared" si="103"/>
        <v>0</v>
      </c>
      <c r="DF232" s="1">
        <f t="shared" si="103"/>
        <v>0</v>
      </c>
      <c r="DH232" s="6">
        <f t="shared" si="87"/>
        <v>64074233</v>
      </c>
    </row>
    <row r="233" spans="1:112" x14ac:dyDescent="0.2">
      <c r="A233" s="5" t="s">
        <v>31</v>
      </c>
      <c r="B233" s="5" t="s">
        <v>6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>
        <v>209726006</v>
      </c>
      <c r="BL233" s="1">
        <v>81115208</v>
      </c>
      <c r="BM233" s="1">
        <v>95022691</v>
      </c>
      <c r="BN233" s="1">
        <v>63456922</v>
      </c>
      <c r="BO233" s="1">
        <v>58000524</v>
      </c>
      <c r="BP233" s="1">
        <v>32811318</v>
      </c>
      <c r="BQ233" s="1">
        <v>37281342</v>
      </c>
      <c r="BR233" s="1">
        <v>40835609</v>
      </c>
      <c r="BS233" s="1">
        <v>81863009</v>
      </c>
      <c r="BT233" s="1">
        <v>80740372</v>
      </c>
      <c r="BU233" s="1">
        <v>68239412</v>
      </c>
      <c r="BV233" s="1">
        <v>87398716</v>
      </c>
      <c r="BW233" s="1">
        <v>113446892</v>
      </c>
      <c r="BX233" s="1">
        <v>67700218</v>
      </c>
      <c r="BY233" s="1">
        <v>64011417</v>
      </c>
      <c r="BZ233" s="1">
        <v>74051981</v>
      </c>
      <c r="CA233" s="1">
        <v>67512802</v>
      </c>
      <c r="CB233" s="1">
        <v>51336109</v>
      </c>
      <c r="CC233" s="1">
        <v>55374949</v>
      </c>
      <c r="CD233" s="1">
        <v>48826633</v>
      </c>
      <c r="CE233" s="1">
        <v>106272261</v>
      </c>
      <c r="CF233" s="1">
        <v>81612215</v>
      </c>
      <c r="CG233" s="1">
        <v>117232596</v>
      </c>
      <c r="CH233" s="1">
        <v>57097388</v>
      </c>
      <c r="CI233" s="1">
        <v>81174178</v>
      </c>
      <c r="CJ233" s="1">
        <v>75636901</v>
      </c>
      <c r="CK233" s="1">
        <v>66540977</v>
      </c>
      <c r="CL233" s="1">
        <v>75086480</v>
      </c>
      <c r="CM233" s="1">
        <v>88952270</v>
      </c>
      <c r="CN233" s="1">
        <v>76659611</v>
      </c>
      <c r="CO233" s="1">
        <v>60275358</v>
      </c>
      <c r="CP233" s="1">
        <v>72729524</v>
      </c>
      <c r="CQ233" s="1">
        <v>77823834</v>
      </c>
      <c r="CR233" s="1">
        <v>98528716</v>
      </c>
      <c r="CS233" s="1">
        <v>133624893</v>
      </c>
      <c r="CT233" s="1">
        <v>138353824</v>
      </c>
      <c r="CU233" s="1">
        <v>99729858</v>
      </c>
      <c r="CV233" s="1">
        <v>72810677</v>
      </c>
      <c r="CW233" s="1">
        <v>88158559</v>
      </c>
      <c r="CX233" s="1">
        <v>89571360</v>
      </c>
      <c r="CY233" s="1">
        <v>88851525</v>
      </c>
      <c r="CZ233" s="1">
        <v>69088019</v>
      </c>
      <c r="DA233" s="1">
        <v>67333027</v>
      </c>
      <c r="DB233" s="1">
        <v>58386955</v>
      </c>
      <c r="DC233" s="1">
        <v>0</v>
      </c>
      <c r="DD233" s="1">
        <v>0</v>
      </c>
      <c r="DE233" s="1">
        <v>0</v>
      </c>
      <c r="DF233" s="1">
        <v>0</v>
      </c>
      <c r="DH233" s="6">
        <f t="shared" si="87"/>
        <v>3520283136</v>
      </c>
    </row>
    <row r="234" spans="1:112" x14ac:dyDescent="0.2">
      <c r="A234" s="5" t="s">
        <v>31</v>
      </c>
      <c r="B234" s="5" t="s">
        <v>7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>
        <v>20989372.600000001</v>
      </c>
      <c r="BL234" s="1">
        <v>8119120.2000000002</v>
      </c>
      <c r="BM234" s="1">
        <v>9518703.5999999996</v>
      </c>
      <c r="BN234" s="1">
        <v>6361193.7000000011</v>
      </c>
      <c r="BO234" s="1">
        <v>5819283.1000000006</v>
      </c>
      <c r="BP234" s="1">
        <v>3282600.7</v>
      </c>
      <c r="BQ234" s="1">
        <v>7466450.4000000004</v>
      </c>
      <c r="BR234" s="1">
        <v>8175320</v>
      </c>
      <c r="BS234" s="1">
        <v>16375742.400000002</v>
      </c>
      <c r="BT234" s="1">
        <v>16149525.600000001</v>
      </c>
      <c r="BU234" s="1">
        <v>13650718</v>
      </c>
      <c r="BV234" s="1">
        <v>17486190</v>
      </c>
      <c r="BW234" s="1">
        <v>22695127.600000001</v>
      </c>
      <c r="BX234" s="1">
        <v>13549445.199999999</v>
      </c>
      <c r="BY234" s="1">
        <v>12804401.200000001</v>
      </c>
      <c r="BZ234" s="1">
        <v>14813313.200000001</v>
      </c>
      <c r="CA234" s="1">
        <v>13506809.800000001</v>
      </c>
      <c r="CB234" s="1">
        <v>10270112.200000001</v>
      </c>
      <c r="CC234" s="1">
        <v>11077799.4</v>
      </c>
      <c r="CD234" s="1">
        <v>9771850.1999999993</v>
      </c>
      <c r="CE234" s="1">
        <v>21261333</v>
      </c>
      <c r="CF234" s="1">
        <v>16330026</v>
      </c>
      <c r="CG234" s="1">
        <v>23452804.800000001</v>
      </c>
      <c r="CH234" s="1">
        <v>11422396.800000001</v>
      </c>
      <c r="CI234" s="1">
        <v>16242491.800000001</v>
      </c>
      <c r="CJ234" s="1">
        <v>15131748</v>
      </c>
      <c r="CK234" s="1">
        <v>13313346.4</v>
      </c>
      <c r="CL234" s="1">
        <v>15021996</v>
      </c>
      <c r="CM234" s="1">
        <v>17794585.400000002</v>
      </c>
      <c r="CN234" s="1">
        <v>15333298.200000001</v>
      </c>
      <c r="CO234" s="1">
        <v>12051902.4</v>
      </c>
      <c r="CP234" s="1">
        <v>14543884.600000001</v>
      </c>
      <c r="CQ234" s="1">
        <v>15559260.000000002</v>
      </c>
      <c r="CR234" s="1">
        <v>19702983.599999998</v>
      </c>
      <c r="CS234" s="1">
        <v>26718711.800000004</v>
      </c>
      <c r="CT234" s="1">
        <v>27662917</v>
      </c>
      <c r="CU234" s="1">
        <v>19941593.200000003</v>
      </c>
      <c r="CV234" s="1">
        <v>14559016.600000001</v>
      </c>
      <c r="CW234" s="1">
        <v>17630202.199999999</v>
      </c>
      <c r="CX234" s="1">
        <v>17911682.200000003</v>
      </c>
      <c r="CY234" s="1">
        <v>17771503</v>
      </c>
      <c r="CZ234" s="1">
        <v>13814150</v>
      </c>
      <c r="DA234" s="1">
        <v>13464416.000000002</v>
      </c>
      <c r="DB234" s="1">
        <v>11677391</v>
      </c>
      <c r="DC234" s="1">
        <v>0</v>
      </c>
      <c r="DD234" s="1">
        <v>0</v>
      </c>
      <c r="DE234" s="1">
        <v>0</v>
      </c>
      <c r="DF234" s="1">
        <v>0</v>
      </c>
      <c r="DH234" s="6">
        <f t="shared" si="87"/>
        <v>650196719.10000014</v>
      </c>
    </row>
    <row r="235" spans="1:112" x14ac:dyDescent="0.2">
      <c r="A235" s="5" t="str">
        <f>A234</f>
        <v>OH</v>
      </c>
      <c r="B235" s="5" t="s">
        <v>41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>
        <v>319482187</v>
      </c>
      <c r="BL235" s="1">
        <v>59068025</v>
      </c>
      <c r="BM235" s="1">
        <v>44354877</v>
      </c>
      <c r="BN235" s="1">
        <v>24180565</v>
      </c>
      <c r="BO235" s="1">
        <v>23126374</v>
      </c>
      <c r="BP235" s="1">
        <v>14850765</v>
      </c>
      <c r="BQ235" s="1">
        <v>10701974</v>
      </c>
      <c r="BR235" s="1">
        <v>15199469</v>
      </c>
      <c r="BS235" s="1">
        <v>52509332</v>
      </c>
      <c r="BT235" s="1">
        <v>38644834</v>
      </c>
      <c r="BU235" s="1">
        <v>58851673</v>
      </c>
      <c r="BV235" s="1">
        <v>36646542</v>
      </c>
      <c r="BW235" s="1">
        <v>40000122</v>
      </c>
      <c r="BX235" s="1">
        <v>28292395</v>
      </c>
      <c r="BY235" s="1">
        <v>22532325</v>
      </c>
      <c r="BZ235" s="1">
        <v>20107945</v>
      </c>
      <c r="CA235" s="1">
        <v>20454834</v>
      </c>
      <c r="CB235" s="1">
        <v>15482795</v>
      </c>
      <c r="CC235" s="1">
        <v>13339143</v>
      </c>
      <c r="CD235" s="1">
        <v>15628094</v>
      </c>
      <c r="CE235" s="1">
        <v>47711056</v>
      </c>
      <c r="CF235" s="1">
        <v>37728856</v>
      </c>
      <c r="CG235" s="1">
        <v>32263318</v>
      </c>
      <c r="CH235" s="1">
        <v>26936615</v>
      </c>
      <c r="CI235" s="1">
        <v>37525273</v>
      </c>
      <c r="CJ235" s="1">
        <v>26796762</v>
      </c>
      <c r="CK235" s="1">
        <v>26764384</v>
      </c>
      <c r="CL235" s="1">
        <v>24289634</v>
      </c>
      <c r="CM235" s="1">
        <v>20701241</v>
      </c>
      <c r="CN235" s="1">
        <v>17176060</v>
      </c>
      <c r="CO235" s="1">
        <v>13686473</v>
      </c>
      <c r="CP235" s="1">
        <v>20611966</v>
      </c>
      <c r="CQ235" s="1">
        <v>46717848</v>
      </c>
      <c r="CR235" s="1">
        <v>38592222</v>
      </c>
      <c r="CS235" s="1">
        <v>33040181</v>
      </c>
      <c r="CT235" s="1">
        <v>23284721</v>
      </c>
      <c r="CU235" s="1">
        <v>30951863</v>
      </c>
      <c r="CV235" s="1">
        <v>19951330</v>
      </c>
      <c r="CW235" s="1">
        <v>26453196</v>
      </c>
      <c r="CX235" s="1">
        <v>23947136</v>
      </c>
      <c r="CY235" s="1">
        <v>22445719</v>
      </c>
      <c r="CZ235" s="1">
        <v>21494222</v>
      </c>
      <c r="DA235" s="1">
        <v>16797179</v>
      </c>
      <c r="DB235" s="1">
        <v>14525713</v>
      </c>
      <c r="DC235" s="1">
        <v>0</v>
      </c>
      <c r="DD235" s="1">
        <v>0</v>
      </c>
      <c r="DE235" s="1">
        <v>0</v>
      </c>
      <c r="DF235" s="1">
        <v>0</v>
      </c>
      <c r="DH235" s="6">
        <f t="shared" si="87"/>
        <v>1523847238</v>
      </c>
    </row>
    <row r="236" spans="1:112" x14ac:dyDescent="0.2">
      <c r="A236" s="5" t="s">
        <v>32</v>
      </c>
      <c r="B236" s="5" t="s">
        <v>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>
        <v>5605243.8600000003</v>
      </c>
      <c r="Y236" s="1">
        <v>17115416</v>
      </c>
      <c r="Z236" s="1">
        <v>22551453</v>
      </c>
      <c r="AA236" s="1">
        <v>21151604</v>
      </c>
      <c r="AB236" s="1">
        <v>20899825</v>
      </c>
      <c r="AC236" s="1">
        <v>9007680</v>
      </c>
      <c r="AD236" s="1">
        <v>4430648</v>
      </c>
      <c r="AE236" s="1">
        <v>7290190</v>
      </c>
      <c r="AF236" s="1">
        <v>7921864</v>
      </c>
      <c r="AG236" s="1">
        <v>14042425</v>
      </c>
      <c r="AH236" s="1">
        <v>25845403</v>
      </c>
      <c r="AI236" s="1">
        <v>26174303</v>
      </c>
      <c r="AJ236" s="1">
        <v>29455228</v>
      </c>
      <c r="AK236" s="1">
        <v>25039884</v>
      </c>
      <c r="AL236" s="1">
        <v>26987303</v>
      </c>
      <c r="AM236" s="1">
        <v>34935891</v>
      </c>
      <c r="AN236" s="1">
        <v>29600150</v>
      </c>
      <c r="AO236" s="1">
        <v>24054960</v>
      </c>
      <c r="AP236" s="1">
        <v>25323061</v>
      </c>
      <c r="AQ236" s="1">
        <v>27780213</v>
      </c>
      <c r="AR236" s="1">
        <v>24903118</v>
      </c>
      <c r="AS236" s="1">
        <v>18189572</v>
      </c>
      <c r="AT236" s="1">
        <v>17686198</v>
      </c>
      <c r="AU236" s="1">
        <v>25070339</v>
      </c>
      <c r="AV236" s="1">
        <v>37639041</v>
      </c>
      <c r="AW236" s="1">
        <v>32673216</v>
      </c>
      <c r="AX236" s="1">
        <v>33743754</v>
      </c>
      <c r="AY236" s="1">
        <v>42899735</v>
      </c>
      <c r="AZ236" s="1">
        <v>39458431</v>
      </c>
      <c r="BA236" s="1">
        <v>36208011</v>
      </c>
      <c r="BB236" s="1">
        <v>42936415</v>
      </c>
      <c r="BC236" s="1">
        <v>41708884</v>
      </c>
      <c r="BD236" s="1">
        <v>33966896</v>
      </c>
      <c r="BE236" s="1">
        <v>28453425</v>
      </c>
      <c r="BF236" s="1">
        <v>28196193</v>
      </c>
      <c r="BG236" s="1">
        <v>39292037</v>
      </c>
      <c r="BH236" s="1">
        <v>55555464</v>
      </c>
      <c r="BI236" s="1">
        <v>55503996</v>
      </c>
      <c r="BJ236" s="1">
        <v>53806189</v>
      </c>
      <c r="BK236" s="1">
        <v>62328293</v>
      </c>
      <c r="BL236" s="1">
        <v>48425409</v>
      </c>
      <c r="BM236" s="1">
        <v>50456710</v>
      </c>
      <c r="BN236" s="1">
        <v>55167184</v>
      </c>
      <c r="BO236" s="1">
        <v>52122283</v>
      </c>
      <c r="BP236" s="1">
        <v>43861200</v>
      </c>
      <c r="BQ236" s="1">
        <v>40428203</v>
      </c>
      <c r="BR236" s="1">
        <v>44542070</v>
      </c>
      <c r="BS236" s="1">
        <v>61354332</v>
      </c>
      <c r="BT236" s="1">
        <v>71903468</v>
      </c>
      <c r="BU236" s="1">
        <v>71231497</v>
      </c>
      <c r="BV236" s="1">
        <v>74112182</v>
      </c>
      <c r="BW236" s="1">
        <v>69889711</v>
      </c>
      <c r="BX236" s="1">
        <v>67902926</v>
      </c>
      <c r="BY236" s="1">
        <v>69398182</v>
      </c>
      <c r="BZ236" s="1">
        <v>72297348</v>
      </c>
      <c r="CA236" s="1">
        <v>76231393</v>
      </c>
      <c r="CB236" s="1">
        <v>64745092</v>
      </c>
      <c r="CC236" s="1">
        <v>53280682</v>
      </c>
      <c r="CD236" s="1">
        <v>56210589</v>
      </c>
      <c r="CE236" s="1">
        <v>75431509</v>
      </c>
      <c r="CF236" s="1">
        <v>81735396</v>
      </c>
      <c r="CG236" s="1">
        <v>87387636</v>
      </c>
      <c r="CH236" s="1">
        <v>90178020</v>
      </c>
      <c r="CI236" s="1">
        <v>83571527</v>
      </c>
      <c r="CJ236" s="1">
        <v>68262718</v>
      </c>
      <c r="CK236" s="1">
        <v>67466177</v>
      </c>
      <c r="CL236" s="1">
        <v>78498557</v>
      </c>
      <c r="CM236" s="1">
        <v>80614209</v>
      </c>
      <c r="CN236" s="1">
        <v>65808604</v>
      </c>
      <c r="CO236" s="1">
        <v>57265089</v>
      </c>
      <c r="CP236" s="1">
        <v>60538956</v>
      </c>
      <c r="CQ236" s="1">
        <v>87430112</v>
      </c>
      <c r="CR236" s="1">
        <v>100991525</v>
      </c>
      <c r="CS236" s="1">
        <v>93397550</v>
      </c>
      <c r="CT236" s="1">
        <v>83085812</v>
      </c>
      <c r="CU236" s="1">
        <v>82150853</v>
      </c>
      <c r="CV236" s="1">
        <v>70603658</v>
      </c>
      <c r="CW236" s="1">
        <v>75201951</v>
      </c>
      <c r="CX236" s="1">
        <v>86605284</v>
      </c>
      <c r="CY236" s="1">
        <v>77612245</v>
      </c>
      <c r="CZ236" s="1">
        <v>87962097</v>
      </c>
      <c r="DA236" s="1">
        <v>82877060</v>
      </c>
      <c r="DB236" s="1">
        <v>72352810</v>
      </c>
      <c r="DC236" s="1">
        <v>83135336</v>
      </c>
      <c r="DD236" s="1">
        <v>0</v>
      </c>
      <c r="DE236" s="1">
        <v>0</v>
      </c>
      <c r="DF236" s="1">
        <v>0</v>
      </c>
      <c r="DH236" s="6">
        <f t="shared" si="87"/>
        <v>4279157103.8600001</v>
      </c>
    </row>
    <row r="237" spans="1:112" x14ac:dyDescent="0.2">
      <c r="A237" s="5" t="s">
        <v>32</v>
      </c>
      <c r="B237" s="5" t="s">
        <v>42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>
        <v>5605243.8600000003</v>
      </c>
      <c r="Y237" s="1">
        <v>17115416</v>
      </c>
      <c r="Z237" s="1">
        <v>22551453</v>
      </c>
      <c r="AA237" s="1">
        <v>21151604</v>
      </c>
      <c r="AB237" s="1">
        <v>20899825</v>
      </c>
      <c r="AC237" s="1">
        <v>9007680</v>
      </c>
      <c r="AD237" s="1">
        <v>4430648</v>
      </c>
      <c r="AE237" s="1">
        <v>7290190</v>
      </c>
      <c r="AF237" s="1">
        <v>7921864</v>
      </c>
      <c r="AG237" s="1">
        <v>14042425</v>
      </c>
      <c r="AH237" s="1">
        <v>25845403</v>
      </c>
      <c r="AI237" s="1">
        <v>26174303</v>
      </c>
      <c r="AJ237" s="1">
        <v>29455228</v>
      </c>
      <c r="AK237" s="1">
        <v>25039884</v>
      </c>
      <c r="AL237" s="1">
        <v>26987303</v>
      </c>
      <c r="AM237" s="1">
        <v>34935891</v>
      </c>
      <c r="AN237" s="1">
        <v>29600150</v>
      </c>
      <c r="AO237" s="1">
        <v>24054960</v>
      </c>
      <c r="AP237" s="1">
        <v>25323061</v>
      </c>
      <c r="AQ237" s="1">
        <v>27780213</v>
      </c>
      <c r="AR237" s="1">
        <v>24903118</v>
      </c>
      <c r="AS237" s="1">
        <v>18189572</v>
      </c>
      <c r="AT237" s="1">
        <v>17686198</v>
      </c>
      <c r="AU237" s="1">
        <v>25070339</v>
      </c>
      <c r="AV237" s="1">
        <v>37639041</v>
      </c>
      <c r="AW237" s="1">
        <v>32673216</v>
      </c>
      <c r="AX237" s="1">
        <v>33743754</v>
      </c>
      <c r="AY237" s="1">
        <v>42899735</v>
      </c>
      <c r="AZ237" s="1">
        <v>39458431</v>
      </c>
      <c r="BA237" s="1">
        <v>36208011</v>
      </c>
      <c r="BB237" s="1">
        <v>42936415</v>
      </c>
      <c r="BC237" s="1">
        <v>41708884</v>
      </c>
      <c r="BD237" s="1">
        <v>33966896</v>
      </c>
      <c r="BE237" s="1">
        <v>28453425</v>
      </c>
      <c r="BF237" s="1">
        <v>28196193</v>
      </c>
      <c r="BG237" s="1">
        <v>39292037</v>
      </c>
      <c r="BH237" s="1">
        <v>55555464</v>
      </c>
      <c r="BI237" s="1">
        <v>55503996</v>
      </c>
      <c r="BJ237" s="1">
        <v>53806189</v>
      </c>
      <c r="BK237" s="1">
        <v>62328293</v>
      </c>
      <c r="BL237" s="1">
        <v>48425409</v>
      </c>
      <c r="BM237" s="1">
        <v>50456710</v>
      </c>
      <c r="BN237" s="1">
        <v>55167184</v>
      </c>
      <c r="BO237" s="1">
        <v>52122283</v>
      </c>
      <c r="BP237" s="1">
        <v>43861200</v>
      </c>
      <c r="BQ237" s="1">
        <v>40428203</v>
      </c>
      <c r="BR237" s="1">
        <v>44542070</v>
      </c>
      <c r="BS237" s="1">
        <v>61354332</v>
      </c>
      <c r="BT237" s="1">
        <v>71903468</v>
      </c>
      <c r="BU237" s="1">
        <v>71231497</v>
      </c>
      <c r="BV237" s="1">
        <v>74112182</v>
      </c>
      <c r="BW237" s="1">
        <v>69889711</v>
      </c>
      <c r="BX237" s="1">
        <v>67902926</v>
      </c>
      <c r="BY237" s="1">
        <v>69398182</v>
      </c>
      <c r="BZ237" s="1">
        <v>72297348</v>
      </c>
      <c r="CA237" s="1">
        <v>76231393</v>
      </c>
      <c r="CB237" s="1">
        <v>64745092</v>
      </c>
      <c r="CC237" s="1">
        <v>53280682</v>
      </c>
      <c r="CD237" s="1">
        <v>56210589</v>
      </c>
      <c r="CE237" s="1">
        <v>75431509</v>
      </c>
      <c r="CF237" s="1">
        <v>81735396</v>
      </c>
      <c r="CG237" s="1">
        <v>87387636</v>
      </c>
      <c r="CH237" s="1">
        <v>90178020</v>
      </c>
      <c r="CI237" s="1">
        <v>83571527</v>
      </c>
      <c r="CJ237" s="1">
        <v>68262718</v>
      </c>
      <c r="CK237" s="1">
        <v>67466177</v>
      </c>
      <c r="CL237" s="1">
        <v>78498557</v>
      </c>
      <c r="CM237" s="1">
        <v>80614209</v>
      </c>
      <c r="CN237" s="1">
        <v>65808604</v>
      </c>
      <c r="CO237" s="1">
        <v>57265089</v>
      </c>
      <c r="CP237" s="1">
        <v>60538956</v>
      </c>
      <c r="CQ237" s="1">
        <v>87430112</v>
      </c>
      <c r="CR237" s="1">
        <v>100991525</v>
      </c>
      <c r="CS237" s="1">
        <v>93397550</v>
      </c>
      <c r="CT237" s="1">
        <v>83085812</v>
      </c>
      <c r="CU237" s="1">
        <v>82150853</v>
      </c>
      <c r="CV237" s="1">
        <v>70603658</v>
      </c>
      <c r="CW237" s="1">
        <v>75201951</v>
      </c>
      <c r="CX237" s="1">
        <v>86605284</v>
      </c>
      <c r="CY237" s="1">
        <v>77612245</v>
      </c>
      <c r="CZ237" s="1">
        <v>87962097</v>
      </c>
      <c r="DA237" s="1">
        <v>82877060</v>
      </c>
      <c r="DB237" s="1">
        <v>72352810</v>
      </c>
      <c r="DC237" s="1">
        <v>83135336</v>
      </c>
      <c r="DD237" s="1">
        <v>0</v>
      </c>
      <c r="DE237" s="1">
        <v>0</v>
      </c>
      <c r="DF237" s="1">
        <v>0</v>
      </c>
      <c r="DH237" s="6">
        <f t="shared" si="87"/>
        <v>4279157103.8600001</v>
      </c>
    </row>
    <row r="238" spans="1:112" x14ac:dyDescent="0.2">
      <c r="A238" s="5" t="s">
        <v>32</v>
      </c>
      <c r="B238" s="5" t="s">
        <v>43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>
        <f t="shared" ref="X238:CI238" si="104">X236-X237</f>
        <v>0</v>
      </c>
      <c r="Y238" s="1">
        <f t="shared" si="104"/>
        <v>0</v>
      </c>
      <c r="Z238" s="1">
        <f t="shared" si="104"/>
        <v>0</v>
      </c>
      <c r="AA238" s="1">
        <f t="shared" si="104"/>
        <v>0</v>
      </c>
      <c r="AB238" s="1">
        <f t="shared" si="104"/>
        <v>0</v>
      </c>
      <c r="AC238" s="1">
        <f t="shared" si="104"/>
        <v>0</v>
      </c>
      <c r="AD238" s="1">
        <f t="shared" si="104"/>
        <v>0</v>
      </c>
      <c r="AE238" s="1">
        <f t="shared" si="104"/>
        <v>0</v>
      </c>
      <c r="AF238" s="1">
        <f t="shared" si="104"/>
        <v>0</v>
      </c>
      <c r="AG238" s="1">
        <f t="shared" si="104"/>
        <v>0</v>
      </c>
      <c r="AH238" s="1">
        <f t="shared" si="104"/>
        <v>0</v>
      </c>
      <c r="AI238" s="1">
        <f t="shared" si="104"/>
        <v>0</v>
      </c>
      <c r="AJ238" s="1">
        <f t="shared" si="104"/>
        <v>0</v>
      </c>
      <c r="AK238" s="1">
        <f t="shared" si="104"/>
        <v>0</v>
      </c>
      <c r="AL238" s="1">
        <f t="shared" si="104"/>
        <v>0</v>
      </c>
      <c r="AM238" s="1">
        <f t="shared" si="104"/>
        <v>0</v>
      </c>
      <c r="AN238" s="1">
        <f t="shared" si="104"/>
        <v>0</v>
      </c>
      <c r="AO238" s="1">
        <f t="shared" si="104"/>
        <v>0</v>
      </c>
      <c r="AP238" s="1">
        <f t="shared" si="104"/>
        <v>0</v>
      </c>
      <c r="AQ238" s="1">
        <f t="shared" si="104"/>
        <v>0</v>
      </c>
      <c r="AR238" s="1">
        <f t="shared" si="104"/>
        <v>0</v>
      </c>
      <c r="AS238" s="1">
        <f t="shared" si="104"/>
        <v>0</v>
      </c>
      <c r="AT238" s="1">
        <f t="shared" si="104"/>
        <v>0</v>
      </c>
      <c r="AU238" s="1">
        <f t="shared" si="104"/>
        <v>0</v>
      </c>
      <c r="AV238" s="1">
        <f t="shared" si="104"/>
        <v>0</v>
      </c>
      <c r="AW238" s="1">
        <f t="shared" si="104"/>
        <v>0</v>
      </c>
      <c r="AX238" s="1">
        <f t="shared" si="104"/>
        <v>0</v>
      </c>
      <c r="AY238" s="1">
        <f t="shared" si="104"/>
        <v>0</v>
      </c>
      <c r="AZ238" s="1">
        <f t="shared" si="104"/>
        <v>0</v>
      </c>
      <c r="BA238" s="1">
        <f t="shared" si="104"/>
        <v>0</v>
      </c>
      <c r="BB238" s="1">
        <f t="shared" si="104"/>
        <v>0</v>
      </c>
      <c r="BC238" s="1">
        <f t="shared" si="104"/>
        <v>0</v>
      </c>
      <c r="BD238" s="1">
        <f t="shared" si="104"/>
        <v>0</v>
      </c>
      <c r="BE238" s="1">
        <f t="shared" si="104"/>
        <v>0</v>
      </c>
      <c r="BF238" s="1">
        <f t="shared" si="104"/>
        <v>0</v>
      </c>
      <c r="BG238" s="1">
        <f t="shared" si="104"/>
        <v>0</v>
      </c>
      <c r="BH238" s="1">
        <f t="shared" si="104"/>
        <v>0</v>
      </c>
      <c r="BI238" s="1">
        <f t="shared" si="104"/>
        <v>0</v>
      </c>
      <c r="BJ238" s="1">
        <f t="shared" si="104"/>
        <v>0</v>
      </c>
      <c r="BK238" s="1">
        <f t="shared" si="104"/>
        <v>0</v>
      </c>
      <c r="BL238" s="1">
        <f t="shared" si="104"/>
        <v>0</v>
      </c>
      <c r="BM238" s="1">
        <f t="shared" si="104"/>
        <v>0</v>
      </c>
      <c r="BN238" s="1">
        <f t="shared" si="104"/>
        <v>0</v>
      </c>
      <c r="BO238" s="1">
        <f t="shared" si="104"/>
        <v>0</v>
      </c>
      <c r="BP238" s="1">
        <f t="shared" si="104"/>
        <v>0</v>
      </c>
      <c r="BQ238" s="1">
        <f t="shared" si="104"/>
        <v>0</v>
      </c>
      <c r="BR238" s="1">
        <f t="shared" si="104"/>
        <v>0</v>
      </c>
      <c r="BS238" s="1">
        <f t="shared" si="104"/>
        <v>0</v>
      </c>
      <c r="BT238" s="1">
        <f t="shared" si="104"/>
        <v>0</v>
      </c>
      <c r="BU238" s="1">
        <f t="shared" si="104"/>
        <v>0</v>
      </c>
      <c r="BV238" s="1">
        <f t="shared" si="104"/>
        <v>0</v>
      </c>
      <c r="BW238" s="1">
        <f t="shared" si="104"/>
        <v>0</v>
      </c>
      <c r="BX238" s="1">
        <f t="shared" si="104"/>
        <v>0</v>
      </c>
      <c r="BY238" s="1">
        <f t="shared" si="104"/>
        <v>0</v>
      </c>
      <c r="BZ238" s="1">
        <f t="shared" si="104"/>
        <v>0</v>
      </c>
      <c r="CA238" s="1">
        <f t="shared" si="104"/>
        <v>0</v>
      </c>
      <c r="CB238" s="1">
        <f t="shared" si="104"/>
        <v>0</v>
      </c>
      <c r="CC238" s="1">
        <f t="shared" si="104"/>
        <v>0</v>
      </c>
      <c r="CD238" s="1">
        <f t="shared" si="104"/>
        <v>0</v>
      </c>
      <c r="CE238" s="1">
        <f t="shared" si="104"/>
        <v>0</v>
      </c>
      <c r="CF238" s="1">
        <f t="shared" si="104"/>
        <v>0</v>
      </c>
      <c r="CG238" s="1">
        <f t="shared" si="104"/>
        <v>0</v>
      </c>
      <c r="CH238" s="1">
        <f t="shared" si="104"/>
        <v>0</v>
      </c>
      <c r="CI238" s="1">
        <f t="shared" si="104"/>
        <v>0</v>
      </c>
      <c r="CJ238" s="1">
        <f t="shared" ref="CJ238:DF238" si="105">CJ236-CJ237</f>
        <v>0</v>
      </c>
      <c r="CK238" s="1">
        <f t="shared" si="105"/>
        <v>0</v>
      </c>
      <c r="CL238" s="1">
        <f t="shared" si="105"/>
        <v>0</v>
      </c>
      <c r="CM238" s="1">
        <f t="shared" si="105"/>
        <v>0</v>
      </c>
      <c r="CN238" s="1">
        <f t="shared" si="105"/>
        <v>0</v>
      </c>
      <c r="CO238" s="1">
        <f t="shared" si="105"/>
        <v>0</v>
      </c>
      <c r="CP238" s="1">
        <f t="shared" si="105"/>
        <v>0</v>
      </c>
      <c r="CQ238" s="1">
        <f t="shared" si="105"/>
        <v>0</v>
      </c>
      <c r="CR238" s="1">
        <f t="shared" si="105"/>
        <v>0</v>
      </c>
      <c r="CS238" s="1">
        <f t="shared" si="105"/>
        <v>0</v>
      </c>
      <c r="CT238" s="1">
        <f t="shared" si="105"/>
        <v>0</v>
      </c>
      <c r="CU238" s="1">
        <f t="shared" si="105"/>
        <v>0</v>
      </c>
      <c r="CV238" s="1">
        <f t="shared" si="105"/>
        <v>0</v>
      </c>
      <c r="CW238" s="1">
        <f t="shared" si="105"/>
        <v>0</v>
      </c>
      <c r="CX238" s="1">
        <f t="shared" si="105"/>
        <v>0</v>
      </c>
      <c r="CY238" s="1">
        <f t="shared" si="105"/>
        <v>0</v>
      </c>
      <c r="CZ238" s="1">
        <f t="shared" si="105"/>
        <v>0</v>
      </c>
      <c r="DA238" s="1">
        <f t="shared" si="105"/>
        <v>0</v>
      </c>
      <c r="DB238" s="1">
        <f t="shared" si="105"/>
        <v>0</v>
      </c>
      <c r="DC238" s="1">
        <f t="shared" si="105"/>
        <v>0</v>
      </c>
      <c r="DD238" s="1">
        <f t="shared" si="105"/>
        <v>0</v>
      </c>
      <c r="DE238" s="1">
        <f t="shared" si="105"/>
        <v>0</v>
      </c>
      <c r="DF238" s="1">
        <f t="shared" si="105"/>
        <v>0</v>
      </c>
      <c r="DH238" s="6">
        <f t="shared" si="87"/>
        <v>0</v>
      </c>
    </row>
    <row r="239" spans="1:112" x14ac:dyDescent="0.2">
      <c r="A239" s="5" t="s">
        <v>32</v>
      </c>
      <c r="B239" s="5" t="s">
        <v>5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>
        <v>220396.31</v>
      </c>
      <c r="Y239" s="1">
        <v>960714</v>
      </c>
      <c r="Z239" s="1">
        <v>1743231</v>
      </c>
      <c r="AA239" s="1">
        <v>1773757</v>
      </c>
      <c r="AB239" s="1">
        <v>1481197</v>
      </c>
      <c r="AC239" s="1">
        <v>937750</v>
      </c>
      <c r="AD239" s="1">
        <v>392767</v>
      </c>
      <c r="AE239" s="1">
        <v>598061</v>
      </c>
      <c r="AF239" s="1">
        <v>777903</v>
      </c>
      <c r="AG239" s="1">
        <v>1003037</v>
      </c>
      <c r="AH239" s="1">
        <v>1662406</v>
      </c>
      <c r="AI239" s="1">
        <v>1527243</v>
      </c>
      <c r="AJ239" s="1">
        <v>2751147</v>
      </c>
      <c r="AK239" s="1">
        <v>4116314</v>
      </c>
      <c r="AL239" s="1">
        <v>3050785</v>
      </c>
      <c r="AM239" s="1">
        <v>3872604</v>
      </c>
      <c r="AN239" s="1">
        <v>2684777</v>
      </c>
      <c r="AO239" s="1">
        <v>1374377</v>
      </c>
      <c r="AP239" s="1">
        <v>2729277</v>
      </c>
      <c r="AQ239" s="1">
        <v>2350290</v>
      </c>
      <c r="AR239" s="1">
        <v>2841767</v>
      </c>
      <c r="AS239" s="1">
        <v>2173572</v>
      </c>
      <c r="AT239" s="1">
        <v>1063135</v>
      </c>
      <c r="AU239" s="1">
        <v>1259744</v>
      </c>
      <c r="AV239" s="1">
        <v>3022298</v>
      </c>
      <c r="AW239" s="1">
        <v>4428658</v>
      </c>
      <c r="AX239" s="1">
        <v>2597503</v>
      </c>
      <c r="AY239" s="1">
        <v>2389280</v>
      </c>
      <c r="AZ239" s="1">
        <v>3335165</v>
      </c>
      <c r="BA239" s="1">
        <v>3620610</v>
      </c>
      <c r="BB239" s="1">
        <v>3824165</v>
      </c>
      <c r="BC239" s="1">
        <v>5034036</v>
      </c>
      <c r="BD239" s="1">
        <v>2548192</v>
      </c>
      <c r="BE239" s="1">
        <v>2700257</v>
      </c>
      <c r="BF239" s="1">
        <v>2707041</v>
      </c>
      <c r="BG239" s="1">
        <v>5465182</v>
      </c>
      <c r="BH239" s="1">
        <v>5783452</v>
      </c>
      <c r="BI239" s="1">
        <v>6418578</v>
      </c>
      <c r="BJ239" s="1">
        <v>5693397</v>
      </c>
      <c r="BK239" s="1">
        <v>7546966</v>
      </c>
      <c r="BL239" s="1">
        <v>4261284</v>
      </c>
      <c r="BM239" s="1">
        <v>6088342</v>
      </c>
      <c r="BN239" s="1">
        <v>7051980</v>
      </c>
      <c r="BO239" s="1">
        <v>6462472</v>
      </c>
      <c r="BP239" s="1">
        <v>4336368</v>
      </c>
      <c r="BQ239" s="1">
        <v>4150625</v>
      </c>
      <c r="BR239" s="1">
        <v>3507634</v>
      </c>
      <c r="BS239" s="1">
        <v>6720396</v>
      </c>
      <c r="BT239" s="1">
        <v>8545270</v>
      </c>
      <c r="BU239" s="1">
        <v>7292147</v>
      </c>
      <c r="BV239" s="1">
        <v>9766101</v>
      </c>
      <c r="BW239" s="1">
        <v>9898881</v>
      </c>
      <c r="BX239" s="1">
        <v>7786240</v>
      </c>
      <c r="BY239" s="1">
        <v>7298922</v>
      </c>
      <c r="BZ239" s="1">
        <v>7370253</v>
      </c>
      <c r="CA239" s="1">
        <v>8856796</v>
      </c>
      <c r="CB239" s="1">
        <v>7216230</v>
      </c>
      <c r="CC239" s="1">
        <v>6082760</v>
      </c>
      <c r="CD239" s="1">
        <v>5068499</v>
      </c>
      <c r="CE239" s="1">
        <v>11423212</v>
      </c>
      <c r="CF239" s="1">
        <v>5748697</v>
      </c>
      <c r="CG239" s="1">
        <v>11895589</v>
      </c>
      <c r="CH239" s="1">
        <v>5790511</v>
      </c>
      <c r="CI239" s="1">
        <v>12489739</v>
      </c>
      <c r="CJ239" s="1">
        <v>9673274</v>
      </c>
      <c r="CK239" s="1">
        <v>7289891</v>
      </c>
      <c r="CL239" s="1">
        <v>9607804</v>
      </c>
      <c r="CM239" s="1">
        <v>10334210</v>
      </c>
      <c r="CN239" s="1">
        <v>9852715</v>
      </c>
      <c r="CO239" s="1">
        <v>6695784</v>
      </c>
      <c r="CP239" s="1">
        <v>7129858</v>
      </c>
      <c r="CQ239" s="1">
        <v>5997442</v>
      </c>
      <c r="CR239" s="1">
        <v>10903378</v>
      </c>
      <c r="CS239" s="1">
        <v>15485252</v>
      </c>
      <c r="CT239" s="1">
        <v>10423158</v>
      </c>
      <c r="CU239" s="1">
        <v>11109938</v>
      </c>
      <c r="CV239" s="1">
        <v>7192954</v>
      </c>
      <c r="CW239" s="1">
        <v>8336406</v>
      </c>
      <c r="CX239" s="1">
        <v>10634055</v>
      </c>
      <c r="CY239" s="1">
        <v>9809562</v>
      </c>
      <c r="CZ239" s="1">
        <v>7764417</v>
      </c>
      <c r="DA239" s="1">
        <v>12350862</v>
      </c>
      <c r="DB239" s="1">
        <v>7207796</v>
      </c>
      <c r="DC239" s="1">
        <v>9585133</v>
      </c>
      <c r="DD239" s="1">
        <v>0</v>
      </c>
      <c r="DE239" s="1">
        <v>0</v>
      </c>
      <c r="DF239" s="1">
        <v>0</v>
      </c>
      <c r="DH239" s="6">
        <f t="shared" si="87"/>
        <v>472953868.31</v>
      </c>
    </row>
    <row r="240" spans="1:112" x14ac:dyDescent="0.2">
      <c r="A240" s="5" t="s">
        <v>32</v>
      </c>
      <c r="B240" s="5" t="s">
        <v>44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>
        <v>220396.31</v>
      </c>
      <c r="Y240" s="1">
        <v>960714</v>
      </c>
      <c r="Z240" s="1">
        <v>1743231</v>
      </c>
      <c r="AA240" s="1">
        <v>1773757</v>
      </c>
      <c r="AB240" s="1">
        <v>1481197</v>
      </c>
      <c r="AC240" s="1">
        <v>937750</v>
      </c>
      <c r="AD240" s="1">
        <v>392767</v>
      </c>
      <c r="AE240" s="1">
        <v>598061</v>
      </c>
      <c r="AF240" s="1">
        <v>777903</v>
      </c>
      <c r="AG240" s="1">
        <v>1003037</v>
      </c>
      <c r="AH240" s="1">
        <v>1662406</v>
      </c>
      <c r="AI240" s="1">
        <v>1527243</v>
      </c>
      <c r="AJ240" s="1">
        <v>2751147</v>
      </c>
      <c r="AK240" s="1">
        <v>4116314</v>
      </c>
      <c r="AL240" s="1">
        <v>3050785</v>
      </c>
      <c r="AM240" s="1">
        <v>3872604</v>
      </c>
      <c r="AN240" s="1">
        <v>2684777</v>
      </c>
      <c r="AO240" s="1">
        <v>1374377</v>
      </c>
      <c r="AP240" s="1">
        <v>2729277</v>
      </c>
      <c r="AQ240" s="1">
        <v>2350290</v>
      </c>
      <c r="AR240" s="1">
        <v>2841767</v>
      </c>
      <c r="AS240" s="1">
        <v>2173572</v>
      </c>
      <c r="AT240" s="1">
        <v>1063135</v>
      </c>
      <c r="AU240" s="1">
        <v>1259744</v>
      </c>
      <c r="AV240" s="1">
        <v>3022298</v>
      </c>
      <c r="AW240" s="1">
        <v>4428658</v>
      </c>
      <c r="AX240" s="1">
        <v>2597503</v>
      </c>
      <c r="AY240" s="1">
        <v>2389280</v>
      </c>
      <c r="AZ240" s="1">
        <v>3335165</v>
      </c>
      <c r="BA240" s="1">
        <v>3620610</v>
      </c>
      <c r="BB240" s="1">
        <v>3824165</v>
      </c>
      <c r="BC240" s="1">
        <v>5034036</v>
      </c>
      <c r="BD240" s="1">
        <v>2548192</v>
      </c>
      <c r="BE240" s="1">
        <v>2700257</v>
      </c>
      <c r="BF240" s="1">
        <v>2707041</v>
      </c>
      <c r="BG240" s="1">
        <v>5465182</v>
      </c>
      <c r="BH240" s="1">
        <v>5783452</v>
      </c>
      <c r="BI240" s="1">
        <v>6418578</v>
      </c>
      <c r="BJ240" s="1">
        <v>5693397</v>
      </c>
      <c r="BK240" s="1">
        <v>7546966</v>
      </c>
      <c r="BL240" s="1">
        <v>4261284</v>
      </c>
      <c r="BM240" s="1">
        <v>6088342</v>
      </c>
      <c r="BN240" s="1">
        <v>7051980</v>
      </c>
      <c r="BO240" s="1">
        <v>6462472</v>
      </c>
      <c r="BP240" s="1">
        <v>4336368</v>
      </c>
      <c r="BQ240" s="1">
        <v>4150625</v>
      </c>
      <c r="BR240" s="1">
        <v>3507634</v>
      </c>
      <c r="BS240" s="1">
        <v>6720396</v>
      </c>
      <c r="BT240" s="1">
        <v>8545270</v>
      </c>
      <c r="BU240" s="1">
        <v>7292147</v>
      </c>
      <c r="BV240" s="1">
        <v>9766101</v>
      </c>
      <c r="BW240" s="1">
        <v>9898881</v>
      </c>
      <c r="BX240" s="1">
        <v>7786240</v>
      </c>
      <c r="BY240" s="1">
        <v>7298922</v>
      </c>
      <c r="BZ240" s="1">
        <v>7370253</v>
      </c>
      <c r="CA240" s="1">
        <v>8856796</v>
      </c>
      <c r="CB240" s="1">
        <v>7216230</v>
      </c>
      <c r="CC240" s="1">
        <v>6082760</v>
      </c>
      <c r="CD240" s="1">
        <v>5068499</v>
      </c>
      <c r="CE240" s="1">
        <v>11423212</v>
      </c>
      <c r="CF240" s="1">
        <v>5748697</v>
      </c>
      <c r="CG240" s="1">
        <v>11895589</v>
      </c>
      <c r="CH240" s="1">
        <v>5790511</v>
      </c>
      <c r="CI240" s="1">
        <v>12489739</v>
      </c>
      <c r="CJ240" s="1">
        <v>9673274</v>
      </c>
      <c r="CK240" s="1">
        <v>7289891</v>
      </c>
      <c r="CL240" s="1">
        <v>9607804</v>
      </c>
      <c r="CM240" s="1">
        <v>10334210</v>
      </c>
      <c r="CN240" s="1">
        <v>9852715</v>
      </c>
      <c r="CO240" s="1">
        <v>6695784</v>
      </c>
      <c r="CP240" s="1">
        <v>7129858</v>
      </c>
      <c r="CQ240" s="1">
        <v>5997442</v>
      </c>
      <c r="CR240" s="1">
        <v>10903378</v>
      </c>
      <c r="CS240" s="1">
        <v>15485252</v>
      </c>
      <c r="CT240" s="1">
        <v>10423158</v>
      </c>
      <c r="CU240" s="1">
        <v>11109938</v>
      </c>
      <c r="CV240" s="1">
        <v>7192954</v>
      </c>
      <c r="CW240" s="1">
        <v>8336406</v>
      </c>
      <c r="CX240" s="1">
        <v>10634055</v>
      </c>
      <c r="CY240" s="1">
        <v>9809562</v>
      </c>
      <c r="CZ240" s="1">
        <v>7764417</v>
      </c>
      <c r="DA240" s="1">
        <v>12350862</v>
      </c>
      <c r="DB240" s="1">
        <v>7207796</v>
      </c>
      <c r="DC240" s="1">
        <v>9585133</v>
      </c>
      <c r="DD240" s="1">
        <v>0</v>
      </c>
      <c r="DE240" s="1">
        <v>0</v>
      </c>
      <c r="DF240" s="1">
        <v>0</v>
      </c>
      <c r="DH240" s="6">
        <f t="shared" si="87"/>
        <v>472953868.31</v>
      </c>
    </row>
    <row r="241" spans="1:112" x14ac:dyDescent="0.2">
      <c r="A241" s="5" t="s">
        <v>32</v>
      </c>
      <c r="B241" s="5" t="s">
        <v>45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>
        <f t="shared" ref="X241:CI241" si="106">X239-X240</f>
        <v>0</v>
      </c>
      <c r="Y241" s="1">
        <f t="shared" si="106"/>
        <v>0</v>
      </c>
      <c r="Z241" s="1">
        <f t="shared" si="106"/>
        <v>0</v>
      </c>
      <c r="AA241" s="1">
        <f t="shared" si="106"/>
        <v>0</v>
      </c>
      <c r="AB241" s="1">
        <f t="shared" si="106"/>
        <v>0</v>
      </c>
      <c r="AC241" s="1">
        <f t="shared" si="106"/>
        <v>0</v>
      </c>
      <c r="AD241" s="1">
        <f t="shared" si="106"/>
        <v>0</v>
      </c>
      <c r="AE241" s="1">
        <f t="shared" si="106"/>
        <v>0</v>
      </c>
      <c r="AF241" s="1">
        <f t="shared" si="106"/>
        <v>0</v>
      </c>
      <c r="AG241" s="1">
        <f t="shared" si="106"/>
        <v>0</v>
      </c>
      <c r="AH241" s="1">
        <f t="shared" si="106"/>
        <v>0</v>
      </c>
      <c r="AI241" s="1">
        <f t="shared" si="106"/>
        <v>0</v>
      </c>
      <c r="AJ241" s="1">
        <f t="shared" si="106"/>
        <v>0</v>
      </c>
      <c r="AK241" s="1">
        <f t="shared" si="106"/>
        <v>0</v>
      </c>
      <c r="AL241" s="1">
        <f t="shared" si="106"/>
        <v>0</v>
      </c>
      <c r="AM241" s="1">
        <f t="shared" si="106"/>
        <v>0</v>
      </c>
      <c r="AN241" s="1">
        <f t="shared" si="106"/>
        <v>0</v>
      </c>
      <c r="AO241" s="1">
        <f t="shared" si="106"/>
        <v>0</v>
      </c>
      <c r="AP241" s="1">
        <f t="shared" si="106"/>
        <v>0</v>
      </c>
      <c r="AQ241" s="1">
        <f t="shared" si="106"/>
        <v>0</v>
      </c>
      <c r="AR241" s="1">
        <f t="shared" si="106"/>
        <v>0</v>
      </c>
      <c r="AS241" s="1">
        <f t="shared" si="106"/>
        <v>0</v>
      </c>
      <c r="AT241" s="1">
        <f t="shared" si="106"/>
        <v>0</v>
      </c>
      <c r="AU241" s="1">
        <f t="shared" si="106"/>
        <v>0</v>
      </c>
      <c r="AV241" s="1">
        <f t="shared" si="106"/>
        <v>0</v>
      </c>
      <c r="AW241" s="1">
        <f t="shared" si="106"/>
        <v>0</v>
      </c>
      <c r="AX241" s="1">
        <f t="shared" si="106"/>
        <v>0</v>
      </c>
      <c r="AY241" s="1">
        <f t="shared" si="106"/>
        <v>0</v>
      </c>
      <c r="AZ241" s="1">
        <f t="shared" si="106"/>
        <v>0</v>
      </c>
      <c r="BA241" s="1">
        <f t="shared" si="106"/>
        <v>0</v>
      </c>
      <c r="BB241" s="1">
        <f t="shared" si="106"/>
        <v>0</v>
      </c>
      <c r="BC241" s="1">
        <f t="shared" si="106"/>
        <v>0</v>
      </c>
      <c r="BD241" s="1">
        <f t="shared" si="106"/>
        <v>0</v>
      </c>
      <c r="BE241" s="1">
        <f t="shared" si="106"/>
        <v>0</v>
      </c>
      <c r="BF241" s="1">
        <f t="shared" si="106"/>
        <v>0</v>
      </c>
      <c r="BG241" s="1">
        <f t="shared" si="106"/>
        <v>0</v>
      </c>
      <c r="BH241" s="1">
        <f t="shared" si="106"/>
        <v>0</v>
      </c>
      <c r="BI241" s="1">
        <f t="shared" si="106"/>
        <v>0</v>
      </c>
      <c r="BJ241" s="1">
        <f t="shared" si="106"/>
        <v>0</v>
      </c>
      <c r="BK241" s="1">
        <f t="shared" si="106"/>
        <v>0</v>
      </c>
      <c r="BL241" s="1">
        <f t="shared" si="106"/>
        <v>0</v>
      </c>
      <c r="BM241" s="1">
        <f t="shared" si="106"/>
        <v>0</v>
      </c>
      <c r="BN241" s="1">
        <f t="shared" si="106"/>
        <v>0</v>
      </c>
      <c r="BO241" s="1">
        <f t="shared" si="106"/>
        <v>0</v>
      </c>
      <c r="BP241" s="1">
        <f t="shared" si="106"/>
        <v>0</v>
      </c>
      <c r="BQ241" s="1">
        <f t="shared" si="106"/>
        <v>0</v>
      </c>
      <c r="BR241" s="1">
        <f t="shared" si="106"/>
        <v>0</v>
      </c>
      <c r="BS241" s="1">
        <f t="shared" si="106"/>
        <v>0</v>
      </c>
      <c r="BT241" s="1">
        <f t="shared" si="106"/>
        <v>0</v>
      </c>
      <c r="BU241" s="1">
        <f t="shared" si="106"/>
        <v>0</v>
      </c>
      <c r="BV241" s="1">
        <f t="shared" si="106"/>
        <v>0</v>
      </c>
      <c r="BW241" s="1">
        <f t="shared" si="106"/>
        <v>0</v>
      </c>
      <c r="BX241" s="1">
        <f t="shared" si="106"/>
        <v>0</v>
      </c>
      <c r="BY241" s="1">
        <f t="shared" si="106"/>
        <v>0</v>
      </c>
      <c r="BZ241" s="1">
        <f t="shared" si="106"/>
        <v>0</v>
      </c>
      <c r="CA241" s="1">
        <f t="shared" si="106"/>
        <v>0</v>
      </c>
      <c r="CB241" s="1">
        <f t="shared" si="106"/>
        <v>0</v>
      </c>
      <c r="CC241" s="1">
        <f t="shared" si="106"/>
        <v>0</v>
      </c>
      <c r="CD241" s="1">
        <f t="shared" si="106"/>
        <v>0</v>
      </c>
      <c r="CE241" s="1">
        <f t="shared" si="106"/>
        <v>0</v>
      </c>
      <c r="CF241" s="1">
        <f t="shared" si="106"/>
        <v>0</v>
      </c>
      <c r="CG241" s="1">
        <f t="shared" si="106"/>
        <v>0</v>
      </c>
      <c r="CH241" s="1">
        <f t="shared" si="106"/>
        <v>0</v>
      </c>
      <c r="CI241" s="1">
        <f t="shared" si="106"/>
        <v>0</v>
      </c>
      <c r="CJ241" s="1">
        <f t="shared" ref="CJ241:DF241" si="107">CJ239-CJ240</f>
        <v>0</v>
      </c>
      <c r="CK241" s="1">
        <f t="shared" si="107"/>
        <v>0</v>
      </c>
      <c r="CL241" s="1">
        <f t="shared" si="107"/>
        <v>0</v>
      </c>
      <c r="CM241" s="1">
        <f t="shared" si="107"/>
        <v>0</v>
      </c>
      <c r="CN241" s="1">
        <f t="shared" si="107"/>
        <v>0</v>
      </c>
      <c r="CO241" s="1">
        <f t="shared" si="107"/>
        <v>0</v>
      </c>
      <c r="CP241" s="1">
        <f t="shared" si="107"/>
        <v>0</v>
      </c>
      <c r="CQ241" s="1">
        <f t="shared" si="107"/>
        <v>0</v>
      </c>
      <c r="CR241" s="1">
        <f t="shared" si="107"/>
        <v>0</v>
      </c>
      <c r="CS241" s="1">
        <f t="shared" si="107"/>
        <v>0</v>
      </c>
      <c r="CT241" s="1">
        <f t="shared" si="107"/>
        <v>0</v>
      </c>
      <c r="CU241" s="1">
        <f t="shared" si="107"/>
        <v>0</v>
      </c>
      <c r="CV241" s="1">
        <f t="shared" si="107"/>
        <v>0</v>
      </c>
      <c r="CW241" s="1">
        <f t="shared" si="107"/>
        <v>0</v>
      </c>
      <c r="CX241" s="1">
        <f t="shared" si="107"/>
        <v>0</v>
      </c>
      <c r="CY241" s="1">
        <f t="shared" si="107"/>
        <v>0</v>
      </c>
      <c r="CZ241" s="1">
        <f t="shared" si="107"/>
        <v>0</v>
      </c>
      <c r="DA241" s="1">
        <f t="shared" si="107"/>
        <v>0</v>
      </c>
      <c r="DB241" s="1">
        <f t="shared" si="107"/>
        <v>0</v>
      </c>
      <c r="DC241" s="1">
        <f t="shared" si="107"/>
        <v>0</v>
      </c>
      <c r="DD241" s="1">
        <f t="shared" si="107"/>
        <v>0</v>
      </c>
      <c r="DE241" s="1">
        <f t="shared" si="107"/>
        <v>0</v>
      </c>
      <c r="DF241" s="1">
        <f t="shared" si="107"/>
        <v>0</v>
      </c>
      <c r="DH241" s="6">
        <f t="shared" si="87"/>
        <v>0</v>
      </c>
    </row>
    <row r="242" spans="1:112" x14ac:dyDescent="0.2">
      <c r="A242" s="5" t="s">
        <v>32</v>
      </c>
      <c r="B242" s="5" t="s">
        <v>6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>
        <v>220396.31</v>
      </c>
      <c r="Y242" s="1">
        <v>960714</v>
      </c>
      <c r="Z242" s="1">
        <v>1743231</v>
      </c>
      <c r="AA242" s="1">
        <v>1773757</v>
      </c>
      <c r="AB242" s="1">
        <v>1481197</v>
      </c>
      <c r="AC242" s="1">
        <v>937750</v>
      </c>
      <c r="AD242" s="1">
        <v>392767</v>
      </c>
      <c r="AE242" s="1">
        <v>598061</v>
      </c>
      <c r="AF242" s="1">
        <v>777903</v>
      </c>
      <c r="AG242" s="1">
        <v>1003037</v>
      </c>
      <c r="AH242" s="1">
        <v>1662406</v>
      </c>
      <c r="AI242" s="1">
        <v>1527243</v>
      </c>
      <c r="AJ242" s="1">
        <v>2751147</v>
      </c>
      <c r="AK242" s="1">
        <v>4116314</v>
      </c>
      <c r="AL242" s="1">
        <v>3050785</v>
      </c>
      <c r="AM242" s="1">
        <v>3872604</v>
      </c>
      <c r="AN242" s="1">
        <v>2684777</v>
      </c>
      <c r="AO242" s="1">
        <v>1374377</v>
      </c>
      <c r="AP242" s="1">
        <v>2729277</v>
      </c>
      <c r="AQ242" s="1">
        <v>2350290</v>
      </c>
      <c r="AR242" s="1">
        <v>2841767</v>
      </c>
      <c r="AS242" s="1">
        <v>2173572</v>
      </c>
      <c r="AT242" s="1">
        <v>1063135</v>
      </c>
      <c r="AU242" s="1">
        <v>1259744</v>
      </c>
      <c r="AV242" s="1">
        <v>3022298</v>
      </c>
      <c r="AW242" s="1">
        <v>4428658</v>
      </c>
      <c r="AX242" s="1">
        <v>2597503</v>
      </c>
      <c r="AY242" s="1">
        <v>2389280</v>
      </c>
      <c r="AZ242" s="1">
        <v>3335165</v>
      </c>
      <c r="BA242" s="1">
        <v>3620610</v>
      </c>
      <c r="BB242" s="1">
        <v>3824165</v>
      </c>
      <c r="BC242" s="1">
        <v>5034036</v>
      </c>
      <c r="BD242" s="1">
        <v>2548192</v>
      </c>
      <c r="BE242" s="1">
        <v>2700257</v>
      </c>
      <c r="BF242" s="1">
        <v>2707041</v>
      </c>
      <c r="BG242" s="1">
        <v>5465182</v>
      </c>
      <c r="BH242" s="1">
        <v>5783452</v>
      </c>
      <c r="BI242" s="1">
        <v>6418578</v>
      </c>
      <c r="BJ242" s="1">
        <v>5693397</v>
      </c>
      <c r="BK242" s="1">
        <v>7546966</v>
      </c>
      <c r="BL242" s="1">
        <v>4261284</v>
      </c>
      <c r="BM242" s="1">
        <v>6088342</v>
      </c>
      <c r="BN242" s="1">
        <v>7051980</v>
      </c>
      <c r="BO242" s="1">
        <v>6462472</v>
      </c>
      <c r="BP242" s="1">
        <v>4336368</v>
      </c>
      <c r="BQ242" s="1">
        <v>4150625</v>
      </c>
      <c r="BR242" s="1">
        <v>3507634</v>
      </c>
      <c r="BS242" s="1">
        <v>6720396</v>
      </c>
      <c r="BT242" s="1">
        <v>8545270</v>
      </c>
      <c r="BU242" s="1">
        <v>7292147</v>
      </c>
      <c r="BV242" s="1">
        <v>9766101</v>
      </c>
      <c r="BW242" s="1">
        <v>9898881</v>
      </c>
      <c r="BX242" s="1">
        <v>7786240</v>
      </c>
      <c r="BY242" s="1">
        <v>7298922</v>
      </c>
      <c r="BZ242" s="1">
        <v>7370253</v>
      </c>
      <c r="CA242" s="1">
        <v>8856796</v>
      </c>
      <c r="CB242" s="1">
        <v>7216230</v>
      </c>
      <c r="CC242" s="1">
        <v>6082760</v>
      </c>
      <c r="CD242" s="1">
        <v>5068499</v>
      </c>
      <c r="CE242" s="1">
        <v>11423212</v>
      </c>
      <c r="CF242" s="1">
        <v>5748697</v>
      </c>
      <c r="CG242" s="1">
        <v>11895589</v>
      </c>
      <c r="CH242" s="1">
        <v>5790511</v>
      </c>
      <c r="CI242" s="1">
        <v>12489739</v>
      </c>
      <c r="CJ242" s="1">
        <v>9673274</v>
      </c>
      <c r="CK242" s="1">
        <v>7289891</v>
      </c>
      <c r="CL242" s="1">
        <v>9607804</v>
      </c>
      <c r="CM242" s="1">
        <v>10334210</v>
      </c>
      <c r="CN242" s="1">
        <v>9852715</v>
      </c>
      <c r="CO242" s="1">
        <v>6695784</v>
      </c>
      <c r="CP242" s="1">
        <v>7129858</v>
      </c>
      <c r="CQ242" s="1">
        <v>5997442</v>
      </c>
      <c r="CR242" s="1">
        <v>10903378</v>
      </c>
      <c r="CS242" s="1">
        <v>15485252</v>
      </c>
      <c r="CT242" s="1">
        <v>10423158</v>
      </c>
      <c r="CU242" s="1">
        <v>11109938</v>
      </c>
      <c r="CV242" s="1">
        <v>7192954</v>
      </c>
      <c r="CW242" s="1">
        <v>8336406</v>
      </c>
      <c r="CX242" s="1">
        <v>10634055</v>
      </c>
      <c r="CY242" s="1">
        <v>9809562</v>
      </c>
      <c r="CZ242" s="1">
        <v>7764417</v>
      </c>
      <c r="DA242" s="1">
        <v>12350862</v>
      </c>
      <c r="DB242" s="1">
        <v>7207796</v>
      </c>
      <c r="DC242" s="1">
        <v>9585133</v>
      </c>
      <c r="DD242" s="1">
        <v>0</v>
      </c>
      <c r="DE242" s="1">
        <v>0</v>
      </c>
      <c r="DF242" s="1">
        <v>0</v>
      </c>
      <c r="DH242" s="6">
        <f t="shared" si="87"/>
        <v>472953868.31</v>
      </c>
    </row>
    <row r="243" spans="1:112" x14ac:dyDescent="0.2">
      <c r="A243" s="5" t="s">
        <v>32</v>
      </c>
      <c r="B243" s="5" t="s">
        <v>7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>
        <v>110198.155</v>
      </c>
      <c r="Y243" s="1">
        <v>480357</v>
      </c>
      <c r="Z243" s="1">
        <v>871615.5</v>
      </c>
      <c r="AA243" s="1">
        <v>886878.5</v>
      </c>
      <c r="AB243" s="1">
        <v>740598.5</v>
      </c>
      <c r="AC243" s="1">
        <v>468875.5</v>
      </c>
      <c r="AD243" s="1">
        <v>196383.5</v>
      </c>
      <c r="AE243" s="1">
        <v>299031</v>
      </c>
      <c r="AF243" s="1">
        <v>388951</v>
      </c>
      <c r="AG243" s="1">
        <v>501518.5</v>
      </c>
      <c r="AH243" s="1">
        <v>831203</v>
      </c>
      <c r="AI243" s="1">
        <v>763621.5</v>
      </c>
      <c r="AJ243" s="1">
        <v>1375574</v>
      </c>
      <c r="AK243" s="1">
        <v>2058156.5</v>
      </c>
      <c r="AL243" s="1">
        <v>1525392</v>
      </c>
      <c r="AM243" s="1">
        <v>1936302</v>
      </c>
      <c r="AN243" s="1">
        <v>1342388.5</v>
      </c>
      <c r="AO243" s="1">
        <v>687188.5</v>
      </c>
      <c r="AP243" s="1">
        <v>1364638.5</v>
      </c>
      <c r="AQ243" s="1">
        <v>1175145</v>
      </c>
      <c r="AR243" s="1">
        <v>1420883</v>
      </c>
      <c r="AS243" s="1">
        <v>1086786</v>
      </c>
      <c r="AT243" s="1">
        <v>531567.5</v>
      </c>
      <c r="AU243" s="1">
        <v>629872</v>
      </c>
      <c r="AV243" s="1">
        <v>1511149</v>
      </c>
      <c r="AW243" s="1">
        <v>2214329</v>
      </c>
      <c r="AX243" s="1">
        <v>1298751.5</v>
      </c>
      <c r="AY243" s="1">
        <v>1194640</v>
      </c>
      <c r="AZ243" s="1">
        <v>1667582.5</v>
      </c>
      <c r="BA243" s="1">
        <v>1810305</v>
      </c>
      <c r="BB243" s="1">
        <v>1912082.5</v>
      </c>
      <c r="BC243" s="1">
        <v>2517018</v>
      </c>
      <c r="BD243" s="1">
        <v>1274096</v>
      </c>
      <c r="BE243" s="1">
        <v>1350128.5</v>
      </c>
      <c r="BF243" s="1">
        <v>1353520.5</v>
      </c>
      <c r="BG243" s="1">
        <v>2732591</v>
      </c>
      <c r="BH243" s="1">
        <v>2891726</v>
      </c>
      <c r="BI243" s="1">
        <v>3209289</v>
      </c>
      <c r="BJ243" s="1">
        <v>2846698.5</v>
      </c>
      <c r="BK243" s="1">
        <v>3773483</v>
      </c>
      <c r="BL243" s="1">
        <v>2130642</v>
      </c>
      <c r="BM243" s="1">
        <v>3044171</v>
      </c>
      <c r="BN243" s="1">
        <v>3525990</v>
      </c>
      <c r="BO243" s="1">
        <v>3231236</v>
      </c>
      <c r="BP243" s="1">
        <v>2168184</v>
      </c>
      <c r="BQ243" s="1">
        <v>2075312.5</v>
      </c>
      <c r="BR243" s="1">
        <v>1753817</v>
      </c>
      <c r="BS243" s="1">
        <v>3360198</v>
      </c>
      <c r="BT243" s="1">
        <v>4272635</v>
      </c>
      <c r="BU243" s="1">
        <v>3646073.5</v>
      </c>
      <c r="BV243" s="1">
        <v>4883050.5</v>
      </c>
      <c r="BW243" s="1">
        <v>4949440.5</v>
      </c>
      <c r="BX243" s="1">
        <v>3893120</v>
      </c>
      <c r="BY243" s="1">
        <v>3649461</v>
      </c>
      <c r="BZ243" s="1">
        <v>3685126.5</v>
      </c>
      <c r="CA243" s="1">
        <v>4428398</v>
      </c>
      <c r="CB243" s="1">
        <v>3608115</v>
      </c>
      <c r="CC243" s="1">
        <v>3041380</v>
      </c>
      <c r="CD243" s="1">
        <v>2534249.5</v>
      </c>
      <c r="CE243" s="1">
        <v>5711606</v>
      </c>
      <c r="CF243" s="1">
        <v>2874348.5</v>
      </c>
      <c r="CG243" s="1">
        <v>5947794.5</v>
      </c>
      <c r="CH243" s="1">
        <v>2895255.5</v>
      </c>
      <c r="CI243" s="1">
        <v>6244869.5</v>
      </c>
      <c r="CJ243" s="1">
        <v>4836637</v>
      </c>
      <c r="CK243" s="1">
        <v>3644945.5</v>
      </c>
      <c r="CL243" s="1">
        <v>4803902</v>
      </c>
      <c r="CM243" s="1">
        <v>5167105</v>
      </c>
      <c r="CN243" s="1">
        <v>4926357.5</v>
      </c>
      <c r="CO243" s="1">
        <v>3347892</v>
      </c>
      <c r="CP243" s="1">
        <v>3564929</v>
      </c>
      <c r="CQ243" s="1">
        <v>2998721</v>
      </c>
      <c r="CR243" s="1">
        <v>5451689</v>
      </c>
      <c r="CS243" s="1">
        <v>7742626</v>
      </c>
      <c r="CT243" s="1">
        <v>5211579</v>
      </c>
      <c r="CU243" s="1">
        <v>5554969</v>
      </c>
      <c r="CV243" s="1">
        <v>3596477</v>
      </c>
      <c r="CW243" s="1">
        <v>4168203</v>
      </c>
      <c r="CX243" s="1">
        <v>5317027.5</v>
      </c>
      <c r="CY243" s="1">
        <v>4904781</v>
      </c>
      <c r="CZ243" s="1">
        <v>3882208.5</v>
      </c>
      <c r="DA243" s="1">
        <v>6175431</v>
      </c>
      <c r="DB243" s="1">
        <v>3603898</v>
      </c>
      <c r="DC243" s="1">
        <v>4792566.5</v>
      </c>
      <c r="DD243" s="1">
        <v>0</v>
      </c>
      <c r="DE243" s="1">
        <v>0</v>
      </c>
      <c r="DF243" s="1">
        <v>0</v>
      </c>
      <c r="DH243" s="6">
        <f t="shared" si="87"/>
        <v>236476933.655</v>
      </c>
    </row>
    <row r="244" spans="1:112" x14ac:dyDescent="0.2">
      <c r="A244" s="5" t="str">
        <f>A243</f>
        <v>OR</v>
      </c>
      <c r="B244" s="5" t="s">
        <v>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H244" s="6">
        <f t="shared" si="87"/>
        <v>0</v>
      </c>
    </row>
    <row r="245" spans="1:112" x14ac:dyDescent="0.2">
      <c r="A245" s="5" t="s">
        <v>33</v>
      </c>
      <c r="B245" s="5" t="s">
        <v>4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>
        <v>1414587</v>
      </c>
      <c r="N245" s="1">
        <v>16173090</v>
      </c>
      <c r="O245" s="1">
        <v>32011838.760000002</v>
      </c>
      <c r="P245" s="1">
        <v>31500741.939999998</v>
      </c>
      <c r="Q245" s="1">
        <v>44527574.799999997</v>
      </c>
      <c r="R245" s="1">
        <v>36769145.159999996</v>
      </c>
      <c r="S245" s="1">
        <v>35934214.759999998</v>
      </c>
      <c r="T245" s="1">
        <v>46334244.029999994</v>
      </c>
      <c r="U245" s="1">
        <v>59331959</v>
      </c>
      <c r="V245" s="1">
        <v>109038051.02</v>
      </c>
      <c r="W245" s="1">
        <v>194504622</v>
      </c>
      <c r="X245" s="1">
        <v>241186066</v>
      </c>
      <c r="Y245" s="1">
        <v>316468264</v>
      </c>
      <c r="Z245" s="1">
        <v>342560389</v>
      </c>
      <c r="AA245" s="1">
        <v>348381708</v>
      </c>
      <c r="AB245" s="1">
        <v>329765782</v>
      </c>
      <c r="AC245" s="1">
        <v>131330059</v>
      </c>
      <c r="AD245" s="1">
        <v>46015988</v>
      </c>
      <c r="AE245" s="1">
        <v>77510033</v>
      </c>
      <c r="AF245" s="1">
        <v>89002562</v>
      </c>
      <c r="AG245" s="1">
        <v>164782229</v>
      </c>
      <c r="AH245" s="1">
        <v>364985422</v>
      </c>
      <c r="AI245" s="1">
        <v>462787392.10000002</v>
      </c>
      <c r="AJ245" s="1">
        <v>525802523.67000002</v>
      </c>
      <c r="AK245" s="1">
        <v>491910712.55000001</v>
      </c>
      <c r="AL245" s="1">
        <v>548590065.0999999</v>
      </c>
      <c r="AM245" s="1">
        <v>615294826.82000005</v>
      </c>
      <c r="AN245" s="1">
        <v>509547820.33999991</v>
      </c>
      <c r="AO245" s="1">
        <v>560259180.67000008</v>
      </c>
      <c r="AP245" s="1">
        <v>479411020.63</v>
      </c>
      <c r="AQ245" s="1">
        <v>447465027.13</v>
      </c>
      <c r="AR245" s="1">
        <v>420193377.23999995</v>
      </c>
      <c r="AS245" s="1">
        <v>304415503.38</v>
      </c>
      <c r="AT245" s="1">
        <v>348520368.80000001</v>
      </c>
      <c r="AU245" s="1">
        <v>578760746.25999999</v>
      </c>
      <c r="AV245" s="1">
        <v>776277954.12</v>
      </c>
      <c r="AW245" s="1">
        <v>761574597.22999978</v>
      </c>
      <c r="AX245" s="1">
        <v>750388695.79000008</v>
      </c>
      <c r="AY245" s="1">
        <v>793722787.1099999</v>
      </c>
      <c r="AZ245" s="1">
        <v>597064048.98000014</v>
      </c>
      <c r="BA245" s="1">
        <v>714976578.40999997</v>
      </c>
      <c r="BB245" s="1">
        <v>572817740.94000018</v>
      </c>
      <c r="BC245" s="1">
        <v>493350518.7899999</v>
      </c>
      <c r="BD245" s="1">
        <v>393494221.81</v>
      </c>
      <c r="BE245" s="1">
        <v>336507932.40999991</v>
      </c>
      <c r="BF245" s="1">
        <v>363046971.97999996</v>
      </c>
      <c r="BG245" s="1">
        <v>645242680.81000006</v>
      </c>
      <c r="BH245" s="1">
        <v>797124732.44000006</v>
      </c>
      <c r="BI245" s="1">
        <v>789230672.26999986</v>
      </c>
      <c r="BJ245" s="1">
        <v>754849873.23000014</v>
      </c>
      <c r="BK245" s="1">
        <v>772289648.45000005</v>
      </c>
      <c r="BL245" s="1">
        <v>599529428.66000009</v>
      </c>
      <c r="BM245" s="1">
        <v>723545806.25</v>
      </c>
      <c r="BN245" s="1">
        <v>572152802.80000007</v>
      </c>
      <c r="BO245" s="1">
        <v>495585359.85999995</v>
      </c>
      <c r="BP245" s="1">
        <v>373171414.54999995</v>
      </c>
      <c r="BQ245" s="1">
        <v>338450263.45999998</v>
      </c>
      <c r="BR245" s="1">
        <v>393007298.19999999</v>
      </c>
      <c r="BS245" s="1">
        <v>726259711.79999995</v>
      </c>
      <c r="BT245" s="1">
        <v>829002595.43999994</v>
      </c>
      <c r="BU245" s="1">
        <v>934130151.55000019</v>
      </c>
      <c r="BV245" s="1">
        <v>925570368.38999999</v>
      </c>
      <c r="BW245" s="1">
        <v>858152502.70000005</v>
      </c>
      <c r="BX245" s="1">
        <v>661740812.31000006</v>
      </c>
      <c r="BY245" s="1">
        <v>800718331.69000006</v>
      </c>
      <c r="BZ245" s="1">
        <v>646061065.35000002</v>
      </c>
      <c r="CA245" s="1">
        <v>591912626.60000002</v>
      </c>
      <c r="CB245" s="1">
        <v>464534792.31999999</v>
      </c>
      <c r="CC245" s="1">
        <v>414673803.84999996</v>
      </c>
      <c r="CD245" s="1">
        <v>485289137.18000001</v>
      </c>
      <c r="CE245" s="1">
        <v>811283984.64999998</v>
      </c>
      <c r="CF245" s="1">
        <v>858148993.9599998</v>
      </c>
      <c r="CG245" s="1">
        <v>935530169.71000004</v>
      </c>
      <c r="CH245" s="1">
        <v>893371608.75000012</v>
      </c>
      <c r="CI245" s="1">
        <v>873149857.76999986</v>
      </c>
      <c r="CJ245" s="1">
        <v>756926216.06999993</v>
      </c>
      <c r="CK245" s="1">
        <v>842856961.23999989</v>
      </c>
      <c r="CL245" s="1">
        <v>711569216.42000008</v>
      </c>
      <c r="CM245" s="1">
        <v>655358227.42000008</v>
      </c>
      <c r="CN245" s="1">
        <v>483637356.45999992</v>
      </c>
      <c r="CO245" s="1">
        <v>412477356.51000005</v>
      </c>
      <c r="CP245" s="1">
        <v>515446826.20000005</v>
      </c>
      <c r="CQ245" s="1">
        <v>850549346.74000013</v>
      </c>
      <c r="CR245" s="1">
        <v>968507712.14999998</v>
      </c>
      <c r="CS245" s="1">
        <v>990551915.58999979</v>
      </c>
      <c r="CT245" s="1">
        <v>797436934.04999995</v>
      </c>
      <c r="CU245" s="1">
        <v>782423791.3599999</v>
      </c>
      <c r="CV245" s="1">
        <v>592462453.89999998</v>
      </c>
      <c r="CW245" s="1">
        <v>730853608.61000001</v>
      </c>
      <c r="CX245" s="1">
        <v>641566629.91999996</v>
      </c>
      <c r="CY245" s="1">
        <v>595569801.5</v>
      </c>
      <c r="CZ245" s="1">
        <v>570255551.53999996</v>
      </c>
      <c r="DA245" s="1">
        <v>509536348.05000001</v>
      </c>
      <c r="DB245" s="1">
        <v>498503057.41000003</v>
      </c>
      <c r="DC245" s="1">
        <v>798743168.78000009</v>
      </c>
      <c r="DD245" s="1">
        <v>0</v>
      </c>
      <c r="DE245" s="1">
        <v>0</v>
      </c>
      <c r="DF245" s="1">
        <v>0</v>
      </c>
      <c r="DH245" s="6">
        <f t="shared" si="87"/>
        <v>49574652157.649986</v>
      </c>
    </row>
    <row r="246" spans="1:112" x14ac:dyDescent="0.2">
      <c r="A246" s="5" t="s">
        <v>33</v>
      </c>
      <c r="B246" s="5" t="s">
        <v>42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>
        <v>573163.23</v>
      </c>
      <c r="T246" s="1">
        <v>19326220.460000001</v>
      </c>
      <c r="U246" s="1">
        <v>38998647.939999998</v>
      </c>
      <c r="V246" s="1">
        <v>83209317.189999998</v>
      </c>
      <c r="W246" s="1">
        <v>158154363</v>
      </c>
      <c r="X246" s="1">
        <v>198688269</v>
      </c>
      <c r="Y246" s="1">
        <v>266740919</v>
      </c>
      <c r="Z246" s="1">
        <v>297445045</v>
      </c>
      <c r="AA246" s="1">
        <v>308605690</v>
      </c>
      <c r="AB246" s="1">
        <v>294127503</v>
      </c>
      <c r="AC246" s="1">
        <v>118332822</v>
      </c>
      <c r="AD246" s="1">
        <v>46015988</v>
      </c>
      <c r="AE246" s="1">
        <v>77510033</v>
      </c>
      <c r="AF246" s="1">
        <v>88313028</v>
      </c>
      <c r="AG246" s="1">
        <v>155354508</v>
      </c>
      <c r="AH246" s="1">
        <v>321554131</v>
      </c>
      <c r="AI246" s="1">
        <v>414100358.86999989</v>
      </c>
      <c r="AJ246" s="1">
        <v>472276003.13</v>
      </c>
      <c r="AK246" s="1">
        <v>447418449.16000003</v>
      </c>
      <c r="AL246" s="1">
        <v>535209738.8300001</v>
      </c>
      <c r="AM246" s="1">
        <v>579941653.27999997</v>
      </c>
      <c r="AN246" s="1">
        <v>469708926.32000005</v>
      </c>
      <c r="AO246" s="1">
        <v>514336352.73000002</v>
      </c>
      <c r="AP246" s="1">
        <v>439065647.88000005</v>
      </c>
      <c r="AQ246" s="1">
        <v>407398752.79000008</v>
      </c>
      <c r="AR246" s="1">
        <v>379267760.43000001</v>
      </c>
      <c r="AS246" s="1">
        <v>275449861.27999997</v>
      </c>
      <c r="AT246" s="1">
        <v>318131155.75</v>
      </c>
      <c r="AU246" s="1">
        <v>527438189.30999988</v>
      </c>
      <c r="AV246" s="1">
        <v>714094431.11000013</v>
      </c>
      <c r="AW246" s="1">
        <v>704074631.61000001</v>
      </c>
      <c r="AX246" s="1">
        <v>693270170.53999996</v>
      </c>
      <c r="AY246" s="1">
        <v>737442936.71000004</v>
      </c>
      <c r="AZ246" s="1">
        <v>558109050.43000007</v>
      </c>
      <c r="BA246" s="1">
        <v>666981929.86000001</v>
      </c>
      <c r="BB246" s="1">
        <v>536143162.85000008</v>
      </c>
      <c r="BC246" s="1">
        <v>457947927.81</v>
      </c>
      <c r="BD246" s="1">
        <v>363964491.18000001</v>
      </c>
      <c r="BE246" s="1">
        <v>311525076.72000003</v>
      </c>
      <c r="BF246" s="1">
        <v>333098950.45000005</v>
      </c>
      <c r="BG246" s="1">
        <v>596714671.06999993</v>
      </c>
      <c r="BH246" s="1">
        <v>732359162.09000003</v>
      </c>
      <c r="BI246" s="1">
        <v>735523025.08000004</v>
      </c>
      <c r="BJ246" s="1">
        <v>704782410.80999994</v>
      </c>
      <c r="BK246" s="1">
        <v>719700379.04999995</v>
      </c>
      <c r="BL246" s="1">
        <v>555793862.01999986</v>
      </c>
      <c r="BM246" s="1">
        <v>667464496.69999993</v>
      </c>
      <c r="BN246" s="1">
        <v>536265702.32999998</v>
      </c>
      <c r="BO246" s="1">
        <v>460189893.74000001</v>
      </c>
      <c r="BP246" s="1">
        <v>349359460.89999998</v>
      </c>
      <c r="BQ246" s="1">
        <v>316089465.99999994</v>
      </c>
      <c r="BR246" s="1">
        <v>367172895.74000001</v>
      </c>
      <c r="BS246" s="1">
        <v>672861547.60000002</v>
      </c>
      <c r="BT246" s="1">
        <v>773164247.91999984</v>
      </c>
      <c r="BU246" s="1">
        <v>876754839.13</v>
      </c>
      <c r="BV246" s="1">
        <v>870372392.62</v>
      </c>
      <c r="BW246" s="1">
        <v>808788638.33000004</v>
      </c>
      <c r="BX246" s="1">
        <v>627486195.44000006</v>
      </c>
      <c r="BY246" s="1">
        <v>759445204.33999991</v>
      </c>
      <c r="BZ246" s="1">
        <v>608268320.91999996</v>
      </c>
      <c r="CA246" s="1">
        <v>556964320.42999995</v>
      </c>
      <c r="CB246" s="1">
        <v>436660541.68000001</v>
      </c>
      <c r="CC246" s="1">
        <v>392056664.62</v>
      </c>
      <c r="CD246" s="1">
        <v>457586189.74000013</v>
      </c>
      <c r="CE246" s="1">
        <v>765498371.58000004</v>
      </c>
      <c r="CF246" s="1">
        <v>811815855.22000003</v>
      </c>
      <c r="CG246" s="1">
        <v>886503760.46999979</v>
      </c>
      <c r="CH246" s="1">
        <v>848803728.09000003</v>
      </c>
      <c r="CI246" s="1">
        <v>830372590.86000013</v>
      </c>
      <c r="CJ246" s="1">
        <v>726711081.50999999</v>
      </c>
      <c r="CK246" s="1">
        <v>806270419.19000006</v>
      </c>
      <c r="CL246" s="1">
        <v>681434590.71000004</v>
      </c>
      <c r="CM246" s="1">
        <v>624977712.05999994</v>
      </c>
      <c r="CN246" s="1">
        <v>460634626.25</v>
      </c>
      <c r="CO246" s="1">
        <v>392624114.68000007</v>
      </c>
      <c r="CP246" s="1">
        <v>490042545.59000009</v>
      </c>
      <c r="CQ246" s="1">
        <v>810134651.43000007</v>
      </c>
      <c r="CR246" s="1">
        <v>926075302.57000005</v>
      </c>
      <c r="CS246" s="1">
        <v>946556548.96000004</v>
      </c>
      <c r="CT246" s="1">
        <v>763515093.82000005</v>
      </c>
      <c r="CU246" s="1">
        <v>747771759.11999989</v>
      </c>
      <c r="CV246" s="1">
        <v>568920972.43999994</v>
      </c>
      <c r="CW246" s="1">
        <v>700648481.75999999</v>
      </c>
      <c r="CX246" s="1">
        <v>617445201.70000005</v>
      </c>
      <c r="CY246" s="1">
        <v>571809008.25999999</v>
      </c>
      <c r="CZ246" s="1">
        <v>548564049.58000004</v>
      </c>
      <c r="DA246" s="1">
        <v>488387918.89999998</v>
      </c>
      <c r="DB246" s="1">
        <v>476921573.48000002</v>
      </c>
      <c r="DC246" s="1">
        <v>767519123.37000012</v>
      </c>
      <c r="DD246" s="1">
        <v>0</v>
      </c>
      <c r="DE246" s="1">
        <v>0</v>
      </c>
      <c r="DF246" s="1">
        <v>0</v>
      </c>
      <c r="DH246" s="6">
        <f t="shared" si="87"/>
        <v>46171128866.750015</v>
      </c>
    </row>
    <row r="247" spans="1:112" x14ac:dyDescent="0.2">
      <c r="A247" s="5" t="s">
        <v>33</v>
      </c>
      <c r="B247" s="5" t="s">
        <v>43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>
        <f t="shared" ref="M247:BX247" si="108">M245-M246</f>
        <v>1414587</v>
      </c>
      <c r="N247" s="1">
        <f t="shared" si="108"/>
        <v>16173090</v>
      </c>
      <c r="O247" s="1">
        <f t="shared" si="108"/>
        <v>32011838.760000002</v>
      </c>
      <c r="P247" s="1">
        <f t="shared" si="108"/>
        <v>31500741.939999998</v>
      </c>
      <c r="Q247" s="1">
        <f t="shared" si="108"/>
        <v>44527574.799999997</v>
      </c>
      <c r="R247" s="1">
        <f t="shared" si="108"/>
        <v>36769145.159999996</v>
      </c>
      <c r="S247" s="1">
        <f t="shared" si="108"/>
        <v>35361051.530000001</v>
      </c>
      <c r="T247" s="1">
        <f t="shared" si="108"/>
        <v>27008023.569999993</v>
      </c>
      <c r="U247" s="1">
        <f t="shared" si="108"/>
        <v>20333311.060000002</v>
      </c>
      <c r="V247" s="1">
        <f t="shared" si="108"/>
        <v>25828733.829999998</v>
      </c>
      <c r="W247" s="1">
        <f t="shared" si="108"/>
        <v>36350259</v>
      </c>
      <c r="X247" s="1">
        <f t="shared" si="108"/>
        <v>42497797</v>
      </c>
      <c r="Y247" s="1">
        <f t="shared" si="108"/>
        <v>49727345</v>
      </c>
      <c r="Z247" s="1">
        <f t="shared" si="108"/>
        <v>45115344</v>
      </c>
      <c r="AA247" s="1">
        <f t="shared" si="108"/>
        <v>39776018</v>
      </c>
      <c r="AB247" s="1">
        <f t="shared" si="108"/>
        <v>35638279</v>
      </c>
      <c r="AC247" s="1">
        <f t="shared" si="108"/>
        <v>12997237</v>
      </c>
      <c r="AD247" s="1">
        <f t="shared" si="108"/>
        <v>0</v>
      </c>
      <c r="AE247" s="1">
        <f t="shared" si="108"/>
        <v>0</v>
      </c>
      <c r="AF247" s="1">
        <f t="shared" si="108"/>
        <v>689534</v>
      </c>
      <c r="AG247" s="1">
        <f t="shared" si="108"/>
        <v>9427721</v>
      </c>
      <c r="AH247" s="1">
        <f t="shared" si="108"/>
        <v>43431291</v>
      </c>
      <c r="AI247" s="1">
        <f t="shared" si="108"/>
        <v>48687033.230000138</v>
      </c>
      <c r="AJ247" s="1">
        <f t="shared" si="108"/>
        <v>53526520.540000021</v>
      </c>
      <c r="AK247" s="1">
        <f t="shared" si="108"/>
        <v>44492263.389999986</v>
      </c>
      <c r="AL247" s="1">
        <f t="shared" si="108"/>
        <v>13380326.269999802</v>
      </c>
      <c r="AM247" s="1">
        <f t="shared" si="108"/>
        <v>35353173.540000081</v>
      </c>
      <c r="AN247" s="1">
        <f t="shared" si="108"/>
        <v>39838894.019999862</v>
      </c>
      <c r="AO247" s="1">
        <f t="shared" si="108"/>
        <v>45922827.940000057</v>
      </c>
      <c r="AP247" s="1">
        <f t="shared" si="108"/>
        <v>40345372.74999994</v>
      </c>
      <c r="AQ247" s="1">
        <f t="shared" si="108"/>
        <v>40066274.339999914</v>
      </c>
      <c r="AR247" s="1">
        <f t="shared" si="108"/>
        <v>40925616.809999943</v>
      </c>
      <c r="AS247" s="1">
        <f t="shared" si="108"/>
        <v>28965642.100000024</v>
      </c>
      <c r="AT247" s="1">
        <f t="shared" si="108"/>
        <v>30389213.050000012</v>
      </c>
      <c r="AU247" s="1">
        <f t="shared" si="108"/>
        <v>51322556.950000107</v>
      </c>
      <c r="AV247" s="1">
        <f t="shared" si="108"/>
        <v>62183523.009999871</v>
      </c>
      <c r="AW247" s="1">
        <f t="shared" si="108"/>
        <v>57499965.619999766</v>
      </c>
      <c r="AX247" s="1">
        <f t="shared" si="108"/>
        <v>57118525.250000119</v>
      </c>
      <c r="AY247" s="1">
        <f t="shared" si="108"/>
        <v>56279850.399999857</v>
      </c>
      <c r="AZ247" s="1">
        <f t="shared" si="108"/>
        <v>38954998.550000072</v>
      </c>
      <c r="BA247" s="1">
        <f t="shared" si="108"/>
        <v>47994648.549999952</v>
      </c>
      <c r="BB247" s="1">
        <f t="shared" si="108"/>
        <v>36674578.090000093</v>
      </c>
      <c r="BC247" s="1">
        <f t="shared" si="108"/>
        <v>35402590.9799999</v>
      </c>
      <c r="BD247" s="1">
        <f t="shared" si="108"/>
        <v>29529730.629999995</v>
      </c>
      <c r="BE247" s="1">
        <f t="shared" si="108"/>
        <v>24982855.689999878</v>
      </c>
      <c r="BF247" s="1">
        <f t="shared" si="108"/>
        <v>29948021.529999912</v>
      </c>
      <c r="BG247" s="1">
        <f t="shared" si="108"/>
        <v>48528009.740000129</v>
      </c>
      <c r="BH247" s="1">
        <f t="shared" si="108"/>
        <v>64765570.350000024</v>
      </c>
      <c r="BI247" s="1">
        <f t="shared" si="108"/>
        <v>53707647.189999819</v>
      </c>
      <c r="BJ247" s="1">
        <f t="shared" si="108"/>
        <v>50067462.420000196</v>
      </c>
      <c r="BK247" s="1">
        <f t="shared" si="108"/>
        <v>52589269.400000095</v>
      </c>
      <c r="BL247" s="1">
        <f t="shared" si="108"/>
        <v>43735566.640000224</v>
      </c>
      <c r="BM247" s="1">
        <f t="shared" si="108"/>
        <v>56081309.550000072</v>
      </c>
      <c r="BN247" s="1">
        <f t="shared" si="108"/>
        <v>35887100.470000088</v>
      </c>
      <c r="BO247" s="1">
        <f t="shared" si="108"/>
        <v>35395466.119999945</v>
      </c>
      <c r="BP247" s="1">
        <f t="shared" si="108"/>
        <v>23811953.649999976</v>
      </c>
      <c r="BQ247" s="1">
        <f t="shared" si="108"/>
        <v>22360797.460000038</v>
      </c>
      <c r="BR247" s="1">
        <f t="shared" si="108"/>
        <v>25834402.459999979</v>
      </c>
      <c r="BS247" s="1">
        <f t="shared" si="108"/>
        <v>53398164.199999928</v>
      </c>
      <c r="BT247" s="1">
        <f t="shared" si="108"/>
        <v>55838347.5200001</v>
      </c>
      <c r="BU247" s="1">
        <f t="shared" si="108"/>
        <v>57375312.420000196</v>
      </c>
      <c r="BV247" s="1">
        <f t="shared" si="108"/>
        <v>55197975.769999981</v>
      </c>
      <c r="BW247" s="1">
        <f t="shared" si="108"/>
        <v>49363864.370000005</v>
      </c>
      <c r="BX247" s="1">
        <f t="shared" si="108"/>
        <v>34254616.870000005</v>
      </c>
      <c r="BY247" s="1">
        <f t="shared" ref="BY247:DF247" si="109">BY245-BY246</f>
        <v>41273127.350000143</v>
      </c>
      <c r="BZ247" s="1">
        <f t="shared" si="109"/>
        <v>37792744.430000067</v>
      </c>
      <c r="CA247" s="1">
        <f t="shared" si="109"/>
        <v>34948306.170000076</v>
      </c>
      <c r="CB247" s="1">
        <f t="shared" si="109"/>
        <v>27874250.639999986</v>
      </c>
      <c r="CC247" s="1">
        <f t="shared" si="109"/>
        <v>22617139.229999959</v>
      </c>
      <c r="CD247" s="1">
        <f t="shared" si="109"/>
        <v>27702947.439999878</v>
      </c>
      <c r="CE247" s="1">
        <f t="shared" si="109"/>
        <v>45785613.069999933</v>
      </c>
      <c r="CF247" s="1">
        <f t="shared" si="109"/>
        <v>46333138.739999771</v>
      </c>
      <c r="CG247" s="1">
        <f t="shared" si="109"/>
        <v>49026409.240000248</v>
      </c>
      <c r="CH247" s="1">
        <f t="shared" si="109"/>
        <v>44567880.660000086</v>
      </c>
      <c r="CI247" s="1">
        <f t="shared" si="109"/>
        <v>42777266.909999728</v>
      </c>
      <c r="CJ247" s="1">
        <f t="shared" si="109"/>
        <v>30215134.559999943</v>
      </c>
      <c r="CK247" s="1">
        <f t="shared" si="109"/>
        <v>36586542.049999833</v>
      </c>
      <c r="CL247" s="1">
        <f t="shared" si="109"/>
        <v>30134625.710000038</v>
      </c>
      <c r="CM247" s="1">
        <f t="shared" si="109"/>
        <v>30380515.360000134</v>
      </c>
      <c r="CN247" s="1">
        <f t="shared" si="109"/>
        <v>23002730.209999919</v>
      </c>
      <c r="CO247" s="1">
        <f t="shared" si="109"/>
        <v>19853241.829999983</v>
      </c>
      <c r="CP247" s="1">
        <f t="shared" si="109"/>
        <v>25404280.609999955</v>
      </c>
      <c r="CQ247" s="1">
        <f t="shared" si="109"/>
        <v>40414695.310000062</v>
      </c>
      <c r="CR247" s="1">
        <f t="shared" si="109"/>
        <v>42432409.579999924</v>
      </c>
      <c r="CS247" s="1">
        <f t="shared" si="109"/>
        <v>43995366.629999757</v>
      </c>
      <c r="CT247" s="1">
        <f t="shared" si="109"/>
        <v>33921840.2299999</v>
      </c>
      <c r="CU247" s="1">
        <f t="shared" si="109"/>
        <v>34652032.24000001</v>
      </c>
      <c r="CV247" s="1">
        <f t="shared" si="109"/>
        <v>23541481.460000038</v>
      </c>
      <c r="CW247" s="1">
        <f t="shared" si="109"/>
        <v>30205126.850000024</v>
      </c>
      <c r="CX247" s="1">
        <f t="shared" si="109"/>
        <v>24121428.219999909</v>
      </c>
      <c r="CY247" s="1">
        <f t="shared" si="109"/>
        <v>23760793.24000001</v>
      </c>
      <c r="CZ247" s="1">
        <f t="shared" si="109"/>
        <v>21691501.959999919</v>
      </c>
      <c r="DA247" s="1">
        <f t="shared" si="109"/>
        <v>21148429.150000036</v>
      </c>
      <c r="DB247" s="1">
        <f t="shared" si="109"/>
        <v>21581483.930000007</v>
      </c>
      <c r="DC247" s="1">
        <f t="shared" si="109"/>
        <v>31224045.409999967</v>
      </c>
      <c r="DD247" s="1">
        <f t="shared" si="109"/>
        <v>0</v>
      </c>
      <c r="DE247" s="1">
        <f t="shared" si="109"/>
        <v>0</v>
      </c>
      <c r="DF247" s="1">
        <f t="shared" si="109"/>
        <v>0</v>
      </c>
      <c r="DH247" s="6">
        <f t="shared" si="87"/>
        <v>3403523290.8999996</v>
      </c>
    </row>
    <row r="248" spans="1:112" x14ac:dyDescent="0.2">
      <c r="A248" s="5" t="s">
        <v>33</v>
      </c>
      <c r="B248" s="5" t="s">
        <v>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>
        <v>508996.6</v>
      </c>
      <c r="N248" s="1">
        <v>2007592.0999999996</v>
      </c>
      <c r="O248" s="1">
        <v>2607215.09</v>
      </c>
      <c r="P248" s="1">
        <v>1946816.5</v>
      </c>
      <c r="Q248" s="1">
        <v>5519339.8599999994</v>
      </c>
      <c r="R248" s="1">
        <v>4221482.13</v>
      </c>
      <c r="S248" s="1">
        <v>2861851.6700000004</v>
      </c>
      <c r="T248" s="1">
        <v>3126380.23</v>
      </c>
      <c r="U248" s="1">
        <v>5074430.68</v>
      </c>
      <c r="V248" s="1">
        <v>9887738.1300000008</v>
      </c>
      <c r="W248" s="1">
        <v>19334816</v>
      </c>
      <c r="X248" s="1">
        <v>19116777</v>
      </c>
      <c r="Y248" s="1">
        <v>20570772</v>
      </c>
      <c r="Z248" s="1">
        <v>17459091</v>
      </c>
      <c r="AA248" s="1">
        <v>31580824</v>
      </c>
      <c r="AB248" s="1">
        <v>11432097</v>
      </c>
      <c r="AC248" s="1">
        <v>8606120</v>
      </c>
      <c r="AD248" s="1">
        <v>3202680</v>
      </c>
      <c r="AE248" s="1">
        <v>5918697</v>
      </c>
      <c r="AF248" s="1">
        <v>7959790</v>
      </c>
      <c r="AG248" s="1">
        <v>13651865</v>
      </c>
      <c r="AH248" s="1">
        <v>27593677</v>
      </c>
      <c r="AI248" s="1">
        <v>18277565.690000001</v>
      </c>
      <c r="AJ248" s="1">
        <v>47834647</v>
      </c>
      <c r="AK248" s="1">
        <v>48500442.850000001</v>
      </c>
      <c r="AL248" s="1">
        <v>45344347.639999993</v>
      </c>
      <c r="AM248" s="1">
        <v>49305268.080000006</v>
      </c>
      <c r="AN248" s="1">
        <v>33171120.450000003</v>
      </c>
      <c r="AO248" s="1">
        <v>41029269.160000004</v>
      </c>
      <c r="AP248" s="1">
        <v>36033726.540000007</v>
      </c>
      <c r="AQ248" s="1">
        <v>37419312.519999996</v>
      </c>
      <c r="AR248" s="1">
        <v>42495332.060000002</v>
      </c>
      <c r="AS248" s="1">
        <v>27482519.189999998</v>
      </c>
      <c r="AT248" s="1">
        <v>25315957.859999999</v>
      </c>
      <c r="AU248" s="1">
        <v>48113670.030000001</v>
      </c>
      <c r="AV248" s="1">
        <v>42282405.339999996</v>
      </c>
      <c r="AW248" s="1">
        <v>84921693.199999988</v>
      </c>
      <c r="AX248" s="1">
        <v>37953474.18</v>
      </c>
      <c r="AY248" s="1">
        <v>53403654.990000002</v>
      </c>
      <c r="AZ248" s="1">
        <v>22160552.939999994</v>
      </c>
      <c r="BA248" s="1">
        <v>48512263.839999996</v>
      </c>
      <c r="BB248" s="1">
        <v>49083331.030000001</v>
      </c>
      <c r="BC248" s="1">
        <v>47828552.82</v>
      </c>
      <c r="BD248" s="1">
        <v>22889553.5</v>
      </c>
      <c r="BE248" s="1">
        <v>33226517.320000004</v>
      </c>
      <c r="BF248" s="1">
        <v>42185144.879999995</v>
      </c>
      <c r="BG248" s="1">
        <v>75319093.280000001</v>
      </c>
      <c r="BH248" s="1">
        <v>61519576.029999994</v>
      </c>
      <c r="BI248" s="1">
        <v>69997948.779999986</v>
      </c>
      <c r="BJ248" s="1">
        <v>71238770.37000002</v>
      </c>
      <c r="BK248" s="1">
        <v>57982068.699999996</v>
      </c>
      <c r="BL248" s="1">
        <v>62214502.079999998</v>
      </c>
      <c r="BM248" s="1">
        <v>66465773.82</v>
      </c>
      <c r="BN248" s="1">
        <v>51786463.57</v>
      </c>
      <c r="BO248" s="1">
        <v>57533744.440000013</v>
      </c>
      <c r="BP248" s="1">
        <v>33866725.039999999</v>
      </c>
      <c r="BQ248" s="1">
        <v>39406353.299999997</v>
      </c>
      <c r="BR248" s="1">
        <v>30614565.030000001</v>
      </c>
      <c r="BS248" s="1">
        <v>66109573.75</v>
      </c>
      <c r="BT248" s="1">
        <v>73631197.209999993</v>
      </c>
      <c r="BU248" s="1">
        <v>49147979.210000001</v>
      </c>
      <c r="BV248" s="1">
        <v>98097732.350000009</v>
      </c>
      <c r="BW248" s="1">
        <v>97681398.999999985</v>
      </c>
      <c r="BX248" s="1">
        <v>50425678.140000008</v>
      </c>
      <c r="BY248" s="1">
        <v>63715603.449999996</v>
      </c>
      <c r="BZ248" s="1">
        <v>59050707.810000002</v>
      </c>
      <c r="CA248" s="1">
        <v>61680935.590000011</v>
      </c>
      <c r="CB248" s="1">
        <v>42998076.129999995</v>
      </c>
      <c r="CC248" s="1">
        <v>52727377.580000006</v>
      </c>
      <c r="CD248" s="1">
        <v>45435752.140000001</v>
      </c>
      <c r="CE248" s="1">
        <v>95815549.340000004</v>
      </c>
      <c r="CF248" s="1">
        <v>58132461.960000001</v>
      </c>
      <c r="CG248" s="1">
        <v>103268287.67000002</v>
      </c>
      <c r="CH248" s="1">
        <v>47488741.200000003</v>
      </c>
      <c r="CI248" s="1">
        <v>84272113.11999999</v>
      </c>
      <c r="CJ248" s="1">
        <v>33961978.470000006</v>
      </c>
      <c r="CK248" s="1">
        <v>49189301.099999994</v>
      </c>
      <c r="CL248" s="1">
        <v>61783963.220000006</v>
      </c>
      <c r="CM248" s="1">
        <v>76064442.469999999</v>
      </c>
      <c r="CN248" s="1">
        <v>66812213.590000004</v>
      </c>
      <c r="CO248" s="1">
        <v>52177461.37000002</v>
      </c>
      <c r="CP248" s="1">
        <v>66533586.11999999</v>
      </c>
      <c r="CQ248" s="1">
        <v>71779503.400000006</v>
      </c>
      <c r="CR248" s="1">
        <v>91844110.719999984</v>
      </c>
      <c r="CS248" s="1">
        <v>125400368.99000001</v>
      </c>
      <c r="CT248" s="1">
        <v>103838048.46999998</v>
      </c>
      <c r="CU248" s="1">
        <v>95611477.370000005</v>
      </c>
      <c r="CV248" s="1">
        <v>54482705.639999986</v>
      </c>
      <c r="CW248" s="1">
        <v>67669051.439999998</v>
      </c>
      <c r="CX248" s="1">
        <v>77173197.37000002</v>
      </c>
      <c r="CY248" s="1">
        <v>67649649.970000014</v>
      </c>
      <c r="CZ248" s="1">
        <v>48030361.889999993</v>
      </c>
      <c r="DA248" s="1">
        <v>64784104.480000012</v>
      </c>
      <c r="DB248" s="1">
        <v>50467860.720000006</v>
      </c>
      <c r="DC248" s="1">
        <v>73509865.030000001</v>
      </c>
      <c r="DD248" s="1">
        <v>0</v>
      </c>
      <c r="DE248" s="1">
        <v>0</v>
      </c>
      <c r="DF248" s="1">
        <v>0</v>
      </c>
      <c r="DH248" s="6">
        <f t="shared" si="87"/>
        <v>4435347374.0199976</v>
      </c>
    </row>
    <row r="249" spans="1:112" x14ac:dyDescent="0.2">
      <c r="A249" s="5" t="s">
        <v>33</v>
      </c>
      <c r="B249" s="5" t="s">
        <v>44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>
        <v>38752.640000000007</v>
      </c>
      <c r="T249" s="1">
        <v>1438693.7599999998</v>
      </c>
      <c r="U249" s="1">
        <v>2888091.37</v>
      </c>
      <c r="V249" s="1">
        <v>6312921.1200000001</v>
      </c>
      <c r="W249" s="1">
        <v>13715463.530000001</v>
      </c>
      <c r="X249" s="1">
        <v>14475685.440000001</v>
      </c>
      <c r="Y249" s="1">
        <v>17276483.079999998</v>
      </c>
      <c r="Z249" s="1">
        <v>14481567.329999998</v>
      </c>
      <c r="AA249" s="1">
        <v>26662496.380000003</v>
      </c>
      <c r="AB249" s="1">
        <v>10803573.719999999</v>
      </c>
      <c r="AC249" s="1">
        <v>7948553.1799999997</v>
      </c>
      <c r="AD249" s="1">
        <v>3225842.15</v>
      </c>
      <c r="AE249" s="1">
        <v>5921208.0899999999</v>
      </c>
      <c r="AF249" s="1">
        <v>8059060.3499999996</v>
      </c>
      <c r="AG249" s="1">
        <v>12382517.08</v>
      </c>
      <c r="AH249" s="1">
        <v>24757874.410000004</v>
      </c>
      <c r="AI249" s="1">
        <v>13156262.749999998</v>
      </c>
      <c r="AJ249" s="1">
        <v>41527977.390000001</v>
      </c>
      <c r="AK249" s="1">
        <v>42335853.070000008</v>
      </c>
      <c r="AL249" s="1">
        <v>44177430.359999999</v>
      </c>
      <c r="AM249" s="1">
        <v>45274540.469999999</v>
      </c>
      <c r="AN249" s="1">
        <v>30199677.830000002</v>
      </c>
      <c r="AO249" s="1">
        <v>37658438.829999998</v>
      </c>
      <c r="AP249" s="1">
        <v>31225563.220000003</v>
      </c>
      <c r="AQ249" s="1">
        <v>32178037.859999999</v>
      </c>
      <c r="AR249" s="1">
        <v>37558521.82</v>
      </c>
      <c r="AS249" s="1">
        <v>24788948.949999996</v>
      </c>
      <c r="AT249" s="1">
        <v>22009226.400000002</v>
      </c>
      <c r="AU249" s="1">
        <v>40903118.830000006</v>
      </c>
      <c r="AV249" s="1">
        <v>37233525.889999993</v>
      </c>
      <c r="AW249" s="1">
        <v>76294874.739999995</v>
      </c>
      <c r="AX249" s="1">
        <v>35196971.020000003</v>
      </c>
      <c r="AY249" s="1">
        <v>47617937.009999998</v>
      </c>
      <c r="AZ249" s="1">
        <v>21132714.349999998</v>
      </c>
      <c r="BA249" s="1">
        <v>43543895.199999996</v>
      </c>
      <c r="BB249" s="1">
        <v>46127132.770000011</v>
      </c>
      <c r="BC249" s="1">
        <v>45076137.870000005</v>
      </c>
      <c r="BD249" s="1">
        <v>21566096.109999999</v>
      </c>
      <c r="BE249" s="1">
        <v>30422816.619999997</v>
      </c>
      <c r="BF249" s="1">
        <v>38519285.840000004</v>
      </c>
      <c r="BG249" s="1">
        <v>68068212.049999997</v>
      </c>
      <c r="BH249" s="1">
        <v>55450953.270000003</v>
      </c>
      <c r="BI249" s="1">
        <v>65336791.650000006</v>
      </c>
      <c r="BJ249" s="1">
        <v>64770768.550000004</v>
      </c>
      <c r="BK249" s="1">
        <v>54981216.559999995</v>
      </c>
      <c r="BL249" s="1">
        <v>57474039.549999997</v>
      </c>
      <c r="BM249" s="1">
        <v>61554388.370000005</v>
      </c>
      <c r="BN249" s="1">
        <v>49234898.650000006</v>
      </c>
      <c r="BO249" s="1">
        <v>53489199.70000001</v>
      </c>
      <c r="BP249" s="1">
        <v>32539313.280000001</v>
      </c>
      <c r="BQ249" s="1">
        <v>36443610.940000005</v>
      </c>
      <c r="BR249" s="1">
        <v>27872550.899999999</v>
      </c>
      <c r="BS249" s="1">
        <v>61536444.439999998</v>
      </c>
      <c r="BT249" s="1">
        <v>68534569.340000004</v>
      </c>
      <c r="BU249" s="1">
        <v>46583099.689999998</v>
      </c>
      <c r="BV249" s="1">
        <v>92755087.739999965</v>
      </c>
      <c r="BW249" s="1">
        <v>93763488.079999998</v>
      </c>
      <c r="BX249" s="1">
        <v>48326887.250000007</v>
      </c>
      <c r="BY249" s="1">
        <v>60466185.080000006</v>
      </c>
      <c r="BZ249" s="1">
        <v>57603301.779999986</v>
      </c>
      <c r="CA249" s="1">
        <v>59087467.609999992</v>
      </c>
      <c r="CB249" s="1">
        <v>41575848.019999996</v>
      </c>
      <c r="CC249" s="1">
        <v>49483355.269999996</v>
      </c>
      <c r="CD249" s="1">
        <v>40982634.049999997</v>
      </c>
      <c r="CE249" s="1">
        <v>89517283.769999996</v>
      </c>
      <c r="CF249" s="1">
        <v>56207046.100000001</v>
      </c>
      <c r="CG249" s="1">
        <v>97832077.390000001</v>
      </c>
      <c r="CH249" s="1">
        <v>47266346.409999996</v>
      </c>
      <c r="CI249" s="1">
        <v>81950539.010000005</v>
      </c>
      <c r="CJ249" s="1">
        <v>36852308.399999991</v>
      </c>
      <c r="CK249" s="1">
        <v>47718250.399999999</v>
      </c>
      <c r="CL249" s="1">
        <v>60419180.490000002</v>
      </c>
      <c r="CM249" s="1">
        <v>73089865.080000013</v>
      </c>
      <c r="CN249" s="1">
        <v>64786126.159999996</v>
      </c>
      <c r="CO249" s="1">
        <v>49504519.260000005</v>
      </c>
      <c r="CP249" s="1">
        <v>62806151.190000005</v>
      </c>
      <c r="CQ249" s="1">
        <v>66397468.609999992</v>
      </c>
      <c r="CR249" s="1">
        <v>87321196.090000004</v>
      </c>
      <c r="CS249" s="1">
        <v>119490610.42000002</v>
      </c>
      <c r="CT249" s="1">
        <v>99403098.600000009</v>
      </c>
      <c r="CU249" s="1">
        <v>91841735.849999994</v>
      </c>
      <c r="CV249" s="1">
        <v>53969127.879999995</v>
      </c>
      <c r="CW249" s="1">
        <v>64971706.949999996</v>
      </c>
      <c r="CX249" s="1">
        <v>75057395.530000001</v>
      </c>
      <c r="CY249" s="1">
        <v>65810574.919999987</v>
      </c>
      <c r="CZ249" s="1">
        <v>47082918.5</v>
      </c>
      <c r="DA249" s="1">
        <v>62508267.770000003</v>
      </c>
      <c r="DB249" s="1">
        <v>48692310.280000009</v>
      </c>
      <c r="DC249" s="1">
        <v>69108296.880000025</v>
      </c>
      <c r="DD249" s="1">
        <v>0</v>
      </c>
      <c r="DE249" s="1">
        <v>0</v>
      </c>
      <c r="DF249" s="1">
        <v>0</v>
      </c>
      <c r="DH249" s="6">
        <f t="shared" si="87"/>
        <v>4123632482.5900011</v>
      </c>
    </row>
    <row r="250" spans="1:112" x14ac:dyDescent="0.2">
      <c r="A250" s="5" t="s">
        <v>33</v>
      </c>
      <c r="B250" s="5" t="s">
        <v>45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>
        <f t="shared" ref="M250:BX250" si="110">M248-M249</f>
        <v>508996.6</v>
      </c>
      <c r="N250" s="1">
        <f t="shared" si="110"/>
        <v>2007592.0999999996</v>
      </c>
      <c r="O250" s="1">
        <f t="shared" si="110"/>
        <v>2607215.09</v>
      </c>
      <c r="P250" s="1">
        <f t="shared" si="110"/>
        <v>1946816.5</v>
      </c>
      <c r="Q250" s="1">
        <f t="shared" si="110"/>
        <v>5519339.8599999994</v>
      </c>
      <c r="R250" s="1">
        <f t="shared" si="110"/>
        <v>4221482.13</v>
      </c>
      <c r="S250" s="1">
        <f t="shared" si="110"/>
        <v>2823099.0300000003</v>
      </c>
      <c r="T250" s="1">
        <f t="shared" si="110"/>
        <v>1687686.4700000002</v>
      </c>
      <c r="U250" s="1">
        <f t="shared" si="110"/>
        <v>2186339.3099999996</v>
      </c>
      <c r="V250" s="1">
        <f t="shared" si="110"/>
        <v>3574817.0100000007</v>
      </c>
      <c r="W250" s="1">
        <f t="shared" si="110"/>
        <v>5619352.4699999988</v>
      </c>
      <c r="X250" s="1">
        <f t="shared" si="110"/>
        <v>4641091.5599999987</v>
      </c>
      <c r="Y250" s="1">
        <f t="shared" si="110"/>
        <v>3294288.9200000018</v>
      </c>
      <c r="Z250" s="1">
        <f t="shared" si="110"/>
        <v>2977523.6700000018</v>
      </c>
      <c r="AA250" s="1">
        <f t="shared" si="110"/>
        <v>4918327.6199999973</v>
      </c>
      <c r="AB250" s="1">
        <f t="shared" si="110"/>
        <v>628523.28000000119</v>
      </c>
      <c r="AC250" s="1">
        <f t="shared" si="110"/>
        <v>657566.8200000003</v>
      </c>
      <c r="AD250" s="1">
        <f t="shared" si="110"/>
        <v>-23162.149999999907</v>
      </c>
      <c r="AE250" s="1">
        <f t="shared" si="110"/>
        <v>-2511.089999999851</v>
      </c>
      <c r="AF250" s="1">
        <f t="shared" si="110"/>
        <v>-99270.349999999627</v>
      </c>
      <c r="AG250" s="1">
        <f t="shared" si="110"/>
        <v>1269347.92</v>
      </c>
      <c r="AH250" s="1">
        <f t="shared" si="110"/>
        <v>2835802.5899999961</v>
      </c>
      <c r="AI250" s="1">
        <f t="shared" si="110"/>
        <v>5121302.9400000032</v>
      </c>
      <c r="AJ250" s="1">
        <f t="shared" si="110"/>
        <v>6306669.6099999994</v>
      </c>
      <c r="AK250" s="1">
        <f t="shared" si="110"/>
        <v>6164589.7799999937</v>
      </c>
      <c r="AL250" s="1">
        <f t="shared" si="110"/>
        <v>1166917.2799999937</v>
      </c>
      <c r="AM250" s="1">
        <f t="shared" si="110"/>
        <v>4030727.6100000069</v>
      </c>
      <c r="AN250" s="1">
        <f t="shared" si="110"/>
        <v>2971442.620000001</v>
      </c>
      <c r="AO250" s="1">
        <f t="shared" si="110"/>
        <v>3370830.3300000057</v>
      </c>
      <c r="AP250" s="1">
        <f t="shared" si="110"/>
        <v>4808163.320000004</v>
      </c>
      <c r="AQ250" s="1">
        <f t="shared" si="110"/>
        <v>5241274.6599999964</v>
      </c>
      <c r="AR250" s="1">
        <f t="shared" si="110"/>
        <v>4936810.2400000021</v>
      </c>
      <c r="AS250" s="1">
        <f t="shared" si="110"/>
        <v>2693570.2400000021</v>
      </c>
      <c r="AT250" s="1">
        <f t="shared" si="110"/>
        <v>3306731.4599999972</v>
      </c>
      <c r="AU250" s="1">
        <f t="shared" si="110"/>
        <v>7210551.1999999955</v>
      </c>
      <c r="AV250" s="1">
        <f t="shared" si="110"/>
        <v>5048879.450000003</v>
      </c>
      <c r="AW250" s="1">
        <f t="shared" si="110"/>
        <v>8626818.4599999934</v>
      </c>
      <c r="AX250" s="1">
        <f t="shared" si="110"/>
        <v>2756503.1599999964</v>
      </c>
      <c r="AY250" s="1">
        <f t="shared" si="110"/>
        <v>5785717.9800000042</v>
      </c>
      <c r="AZ250" s="1">
        <f t="shared" si="110"/>
        <v>1027838.5899999961</v>
      </c>
      <c r="BA250" s="1">
        <f t="shared" si="110"/>
        <v>4968368.6400000006</v>
      </c>
      <c r="BB250" s="1">
        <f t="shared" si="110"/>
        <v>2956198.2599999905</v>
      </c>
      <c r="BC250" s="1">
        <f t="shared" si="110"/>
        <v>2752414.9499999955</v>
      </c>
      <c r="BD250" s="1">
        <f t="shared" si="110"/>
        <v>1323457.3900000006</v>
      </c>
      <c r="BE250" s="1">
        <f t="shared" si="110"/>
        <v>2803700.7000000067</v>
      </c>
      <c r="BF250" s="1">
        <f t="shared" si="110"/>
        <v>3665859.0399999917</v>
      </c>
      <c r="BG250" s="1">
        <f t="shared" si="110"/>
        <v>7250881.2300000042</v>
      </c>
      <c r="BH250" s="1">
        <f t="shared" si="110"/>
        <v>6068622.7599999905</v>
      </c>
      <c r="BI250" s="1">
        <f t="shared" si="110"/>
        <v>4661157.1299999803</v>
      </c>
      <c r="BJ250" s="1">
        <f t="shared" si="110"/>
        <v>6468001.8200000152</v>
      </c>
      <c r="BK250" s="1">
        <f t="shared" si="110"/>
        <v>3000852.1400000006</v>
      </c>
      <c r="BL250" s="1">
        <f t="shared" si="110"/>
        <v>4740462.5300000012</v>
      </c>
      <c r="BM250" s="1">
        <f t="shared" si="110"/>
        <v>4911385.4499999955</v>
      </c>
      <c r="BN250" s="1">
        <f t="shared" si="110"/>
        <v>2551564.9199999943</v>
      </c>
      <c r="BO250" s="1">
        <f t="shared" si="110"/>
        <v>4044544.7400000021</v>
      </c>
      <c r="BP250" s="1">
        <f t="shared" si="110"/>
        <v>1327411.7599999979</v>
      </c>
      <c r="BQ250" s="1">
        <f t="shared" si="110"/>
        <v>2962742.359999992</v>
      </c>
      <c r="BR250" s="1">
        <f t="shared" si="110"/>
        <v>2742014.1300000027</v>
      </c>
      <c r="BS250" s="1">
        <f t="shared" si="110"/>
        <v>4573129.3100000024</v>
      </c>
      <c r="BT250" s="1">
        <f t="shared" si="110"/>
        <v>5096627.8699999899</v>
      </c>
      <c r="BU250" s="1">
        <f t="shared" si="110"/>
        <v>2564879.5200000033</v>
      </c>
      <c r="BV250" s="1">
        <f t="shared" si="110"/>
        <v>5342644.6100000441</v>
      </c>
      <c r="BW250" s="1">
        <f t="shared" si="110"/>
        <v>3917910.9199999869</v>
      </c>
      <c r="BX250" s="1">
        <f t="shared" si="110"/>
        <v>2098790.8900000006</v>
      </c>
      <c r="BY250" s="1">
        <f t="shared" ref="BY250:DF250" si="111">BY248-BY249</f>
        <v>3249418.3699999899</v>
      </c>
      <c r="BZ250" s="1">
        <f t="shared" si="111"/>
        <v>1447406.0300000161</v>
      </c>
      <c r="CA250" s="1">
        <f t="shared" si="111"/>
        <v>2593467.9800000191</v>
      </c>
      <c r="CB250" s="1">
        <f t="shared" si="111"/>
        <v>1422228.1099999994</v>
      </c>
      <c r="CC250" s="1">
        <f t="shared" si="111"/>
        <v>3244022.3100000098</v>
      </c>
      <c r="CD250" s="1">
        <f t="shared" si="111"/>
        <v>4453118.0900000036</v>
      </c>
      <c r="CE250" s="1">
        <f t="shared" si="111"/>
        <v>6298265.5700000077</v>
      </c>
      <c r="CF250" s="1">
        <f t="shared" si="111"/>
        <v>1925415.8599999994</v>
      </c>
      <c r="CG250" s="1">
        <f t="shared" si="111"/>
        <v>5436210.2800000161</v>
      </c>
      <c r="CH250" s="1">
        <f t="shared" si="111"/>
        <v>222394.79000000656</v>
      </c>
      <c r="CI250" s="1">
        <f t="shared" si="111"/>
        <v>2321574.1099999845</v>
      </c>
      <c r="CJ250" s="1">
        <f t="shared" si="111"/>
        <v>-2890329.9299999848</v>
      </c>
      <c r="CK250" s="1">
        <f t="shared" si="111"/>
        <v>1471050.6999999955</v>
      </c>
      <c r="CL250" s="1">
        <f t="shared" si="111"/>
        <v>1364782.7300000042</v>
      </c>
      <c r="CM250" s="1">
        <f t="shared" si="111"/>
        <v>2974577.3899999857</v>
      </c>
      <c r="CN250" s="1">
        <f t="shared" si="111"/>
        <v>2026087.4300000072</v>
      </c>
      <c r="CO250" s="1">
        <f t="shared" si="111"/>
        <v>2672942.1100000143</v>
      </c>
      <c r="CP250" s="1">
        <f t="shared" si="111"/>
        <v>3727434.9299999848</v>
      </c>
      <c r="CQ250" s="1">
        <f t="shared" si="111"/>
        <v>5382034.790000014</v>
      </c>
      <c r="CR250" s="1">
        <f t="shared" si="111"/>
        <v>4522914.6299999803</v>
      </c>
      <c r="CS250" s="1">
        <f t="shared" si="111"/>
        <v>5909758.5699999928</v>
      </c>
      <c r="CT250" s="1">
        <f t="shared" si="111"/>
        <v>4434949.869999975</v>
      </c>
      <c r="CU250" s="1">
        <f t="shared" si="111"/>
        <v>3769741.5200000107</v>
      </c>
      <c r="CV250" s="1">
        <f t="shared" si="111"/>
        <v>513577.75999999046</v>
      </c>
      <c r="CW250" s="1">
        <f t="shared" si="111"/>
        <v>2697344.4900000021</v>
      </c>
      <c r="CX250" s="1">
        <f t="shared" si="111"/>
        <v>2115801.8400000185</v>
      </c>
      <c r="CY250" s="1">
        <f t="shared" si="111"/>
        <v>1839075.0500000268</v>
      </c>
      <c r="CZ250" s="1">
        <f t="shared" si="111"/>
        <v>947443.38999999315</v>
      </c>
      <c r="DA250" s="1">
        <f t="shared" si="111"/>
        <v>2275836.7100000083</v>
      </c>
      <c r="DB250" s="1">
        <f t="shared" si="111"/>
        <v>1775550.4399999976</v>
      </c>
      <c r="DC250" s="1">
        <f t="shared" si="111"/>
        <v>4401568.1499999762</v>
      </c>
      <c r="DD250" s="1">
        <f t="shared" si="111"/>
        <v>0</v>
      </c>
      <c r="DE250" s="1">
        <f t="shared" si="111"/>
        <v>0</v>
      </c>
      <c r="DF250" s="1">
        <f t="shared" si="111"/>
        <v>0</v>
      </c>
      <c r="DH250" s="6">
        <f t="shared" si="87"/>
        <v>311714891.43000013</v>
      </c>
    </row>
    <row r="251" spans="1:112" x14ac:dyDescent="0.2">
      <c r="A251" s="5" t="s">
        <v>33</v>
      </c>
      <c r="B251" s="5" t="s">
        <v>6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>
        <v>508996.6</v>
      </c>
      <c r="N251" s="1">
        <v>2007592.0999999996</v>
      </c>
      <c r="O251" s="1">
        <v>2607215.09</v>
      </c>
      <c r="P251" s="1">
        <v>1946816.5</v>
      </c>
      <c r="Q251" s="1">
        <v>5519339.8599999994</v>
      </c>
      <c r="R251" s="1">
        <v>4221482.13</v>
      </c>
      <c r="S251" s="1">
        <v>2861851.6700000004</v>
      </c>
      <c r="T251" s="1">
        <v>2056819.4200000002</v>
      </c>
      <c r="U251" s="1">
        <v>2852137.36</v>
      </c>
      <c r="V251" s="1">
        <v>6115016.2400000012</v>
      </c>
      <c r="W251" s="1">
        <v>14888872</v>
      </c>
      <c r="X251" s="1">
        <v>14948249</v>
      </c>
      <c r="Y251" s="1">
        <v>14720686</v>
      </c>
      <c r="Z251" s="1">
        <v>11374482</v>
      </c>
      <c r="AA251" s="1">
        <v>22841213</v>
      </c>
      <c r="AB251" s="1">
        <v>4722252</v>
      </c>
      <c r="AC251" s="1">
        <v>6889255</v>
      </c>
      <c r="AD251" s="1">
        <v>2883471</v>
      </c>
      <c r="AE251" s="1">
        <v>4828989</v>
      </c>
      <c r="AF251" s="1">
        <v>6660158</v>
      </c>
      <c r="AG251" s="1">
        <v>8147480</v>
      </c>
      <c r="AH251" s="1">
        <v>18274075</v>
      </c>
      <c r="AI251" s="1">
        <v>6269883</v>
      </c>
      <c r="AJ251" s="1">
        <v>36776926</v>
      </c>
      <c r="AK251" s="1">
        <v>37350246.159999996</v>
      </c>
      <c r="AL251" s="1">
        <v>34059538.710000001</v>
      </c>
      <c r="AM251" s="1">
        <v>33970395.660000004</v>
      </c>
      <c r="AN251" s="1">
        <v>16379807.290000001</v>
      </c>
      <c r="AO251" s="1">
        <v>29352345.489999995</v>
      </c>
      <c r="AP251" s="1">
        <v>26296482.93</v>
      </c>
      <c r="AQ251" s="1">
        <v>27746484.339999996</v>
      </c>
      <c r="AR251" s="1">
        <v>34225519.820000008</v>
      </c>
      <c r="AS251" s="1">
        <v>19856179.550000001</v>
      </c>
      <c r="AT251" s="1">
        <v>18007244.41</v>
      </c>
      <c r="AU251" s="1">
        <v>28253790.309999995</v>
      </c>
      <c r="AV251" s="1">
        <v>23532815.980000008</v>
      </c>
      <c r="AW251" s="1">
        <v>63668655.010000005</v>
      </c>
      <c r="AX251" s="1">
        <v>18817767.57</v>
      </c>
      <c r="AY251" s="1">
        <v>32169931.220000003</v>
      </c>
      <c r="AZ251" s="1">
        <v>-442847.1999999996</v>
      </c>
      <c r="BA251" s="1">
        <v>30400580.640000004</v>
      </c>
      <c r="BB251" s="1">
        <v>33667057.120000005</v>
      </c>
      <c r="BC251" s="1">
        <v>35009849.469999991</v>
      </c>
      <c r="BD251" s="1">
        <v>12769551.889999999</v>
      </c>
      <c r="BE251" s="1">
        <v>25444499.800000008</v>
      </c>
      <c r="BF251" s="1">
        <v>33953299.719999999</v>
      </c>
      <c r="BG251" s="1">
        <v>50216968.790000007</v>
      </c>
      <c r="BH251" s="1">
        <v>40514020.190000005</v>
      </c>
      <c r="BI251" s="1">
        <v>52880924.780000016</v>
      </c>
      <c r="BJ251" s="1">
        <v>54624271.200000003</v>
      </c>
      <c r="BK251" s="1">
        <v>39250401.659999996</v>
      </c>
      <c r="BL251" s="1">
        <v>43230177.43</v>
      </c>
      <c r="BM251" s="1">
        <v>50645259.239999987</v>
      </c>
      <c r="BN251" s="1">
        <v>37036123.210000001</v>
      </c>
      <c r="BO251" s="1">
        <v>41104590.299999997</v>
      </c>
      <c r="BP251" s="1">
        <v>23060075.599999994</v>
      </c>
      <c r="BQ251" s="1">
        <v>32089785.079999987</v>
      </c>
      <c r="BR251" s="1">
        <v>22026306.550000001</v>
      </c>
      <c r="BS251" s="1">
        <v>36633084.129999995</v>
      </c>
      <c r="BT251" s="1">
        <v>48150055.38000001</v>
      </c>
      <c r="BU251" s="1">
        <v>12884034.370000001</v>
      </c>
      <c r="BV251" s="1">
        <v>72506446.260000005</v>
      </c>
      <c r="BW251" s="1">
        <v>69924036.090000004</v>
      </c>
      <c r="BX251" s="1">
        <v>30252626.830000002</v>
      </c>
      <c r="BY251" s="1">
        <v>45581569.859999999</v>
      </c>
      <c r="BZ251" s="1">
        <v>42412509.839999996</v>
      </c>
      <c r="CA251" s="1">
        <v>44212853.170000002</v>
      </c>
      <c r="CB251" s="1">
        <v>29893120.960000005</v>
      </c>
      <c r="CC251" s="1">
        <v>38565689.68</v>
      </c>
      <c r="CD251" s="1">
        <v>30002574.379999999</v>
      </c>
      <c r="CE251" s="1">
        <v>53532012.189999998</v>
      </c>
      <c r="CF251" s="1">
        <v>27373043.010000002</v>
      </c>
      <c r="CG251" s="1">
        <v>77097493.61999999</v>
      </c>
      <c r="CH251" s="1">
        <v>21869328.609999996</v>
      </c>
      <c r="CI251" s="1">
        <v>51500458.5</v>
      </c>
      <c r="CJ251" s="1">
        <v>7485177.4799999995</v>
      </c>
      <c r="CK251" s="1">
        <v>27026828.949999999</v>
      </c>
      <c r="CL251" s="1">
        <v>42533443.989999995</v>
      </c>
      <c r="CM251" s="1">
        <v>59417240.030000001</v>
      </c>
      <c r="CN251" s="1">
        <v>51236553.999999993</v>
      </c>
      <c r="CO251" s="1">
        <v>40578753.210000001</v>
      </c>
      <c r="CP251" s="1">
        <v>49151040.259999998</v>
      </c>
      <c r="CQ251" s="1">
        <v>29735587.849999998</v>
      </c>
      <c r="CR251" s="1">
        <v>60674209.419999994</v>
      </c>
      <c r="CS251" s="1">
        <v>98343744.090000004</v>
      </c>
      <c r="CT251" s="1">
        <v>84812544.419999987</v>
      </c>
      <c r="CU251" s="1">
        <v>71393613.260000005</v>
      </c>
      <c r="CV251" s="1">
        <v>37844313.32</v>
      </c>
      <c r="CW251" s="1">
        <v>47855880.549999997</v>
      </c>
      <c r="CX251" s="1">
        <v>58953160.25</v>
      </c>
      <c r="CY251" s="1">
        <v>52642686.269999996</v>
      </c>
      <c r="CZ251" s="1">
        <v>30962098.270000003</v>
      </c>
      <c r="DA251" s="1">
        <v>51839587.889999993</v>
      </c>
      <c r="DB251" s="1">
        <v>39361627.650000006</v>
      </c>
      <c r="DC251" s="1">
        <v>44737407.810000002</v>
      </c>
      <c r="DD251" s="1">
        <v>0</v>
      </c>
      <c r="DE251" s="1">
        <v>0</v>
      </c>
      <c r="DF251" s="1">
        <v>0</v>
      </c>
      <c r="DH251" s="6">
        <f t="shared" si="87"/>
        <v>3025067793.7400007</v>
      </c>
    </row>
    <row r="252" spans="1:112" x14ac:dyDescent="0.2">
      <c r="A252" s="5" t="s">
        <v>33</v>
      </c>
      <c r="B252" s="5" t="s">
        <v>7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>
        <v>183238.77600000001</v>
      </c>
      <c r="N252" s="1">
        <v>722733.16999999993</v>
      </c>
      <c r="O252" s="1">
        <v>938597.48999999987</v>
      </c>
      <c r="P252" s="1">
        <v>700853.95000000007</v>
      </c>
      <c r="Q252" s="1">
        <v>1986962.3800000001</v>
      </c>
      <c r="R252" s="1">
        <v>1519733.5499999998</v>
      </c>
      <c r="S252" s="1">
        <v>1030266.5900000001</v>
      </c>
      <c r="T252" s="1">
        <v>740454.98</v>
      </c>
      <c r="U252" s="1">
        <v>1026769.4499999998</v>
      </c>
      <c r="V252" s="1">
        <v>2201405.85</v>
      </c>
      <c r="W252" s="1">
        <v>5359993.8299999991</v>
      </c>
      <c r="X252" s="1">
        <v>5381369.5599999987</v>
      </c>
      <c r="Y252" s="1">
        <v>5299447.0599999996</v>
      </c>
      <c r="Z252" s="1">
        <v>4094813.4299999997</v>
      </c>
      <c r="AA252" s="1">
        <v>8222828.9800000004</v>
      </c>
      <c r="AB252" s="1">
        <v>1700010.6400000001</v>
      </c>
      <c r="AC252" s="1">
        <v>2480131.9300000002</v>
      </c>
      <c r="AD252" s="1">
        <v>1038049.4</v>
      </c>
      <c r="AE252" s="1">
        <v>1738436.08</v>
      </c>
      <c r="AF252" s="1">
        <v>2397657.0099999998</v>
      </c>
      <c r="AG252" s="1">
        <v>2933092.6399999997</v>
      </c>
      <c r="AH252" s="1">
        <v>6578667.0800000001</v>
      </c>
      <c r="AI252" s="1">
        <v>2257157.7200000011</v>
      </c>
      <c r="AJ252" s="1">
        <v>13239693.379999999</v>
      </c>
      <c r="AK252" s="1">
        <v>13446088.600000003</v>
      </c>
      <c r="AL252" s="1">
        <v>12261433.980000002</v>
      </c>
      <c r="AM252" s="1">
        <v>12229342.460000001</v>
      </c>
      <c r="AN252" s="1">
        <v>5896730.6700000009</v>
      </c>
      <c r="AO252" s="1">
        <v>10566844.359999999</v>
      </c>
      <c r="AP252" s="1">
        <v>9466733.8699999992</v>
      </c>
      <c r="AQ252" s="1">
        <v>9988734.3499999996</v>
      </c>
      <c r="AR252" s="1">
        <v>12321187.109999999</v>
      </c>
      <c r="AS252" s="1">
        <v>7148224.6200000001</v>
      </c>
      <c r="AT252" s="1">
        <v>6482608.0300000003</v>
      </c>
      <c r="AU252" s="1">
        <v>10171364.48</v>
      </c>
      <c r="AV252" s="1">
        <v>8471813.8100000005</v>
      </c>
      <c r="AW252" s="1">
        <v>22920715.830000006</v>
      </c>
      <c r="AX252" s="1">
        <v>6774396.3099999987</v>
      </c>
      <c r="AY252" s="1">
        <v>11581175.280000001</v>
      </c>
      <c r="AZ252" s="1">
        <v>-159424.98000000007</v>
      </c>
      <c r="BA252" s="1">
        <v>10944209.059999999</v>
      </c>
      <c r="BB252" s="1">
        <v>12120140.629999999</v>
      </c>
      <c r="BC252" s="1">
        <v>12603545.810000001</v>
      </c>
      <c r="BD252" s="1">
        <v>4597038.67</v>
      </c>
      <c r="BE252" s="1">
        <v>9160019.9199999999</v>
      </c>
      <c r="BF252" s="1">
        <v>12223187.93</v>
      </c>
      <c r="BG252" s="1">
        <v>18078108.799999993</v>
      </c>
      <c r="BH252" s="1">
        <v>14585047.280000001</v>
      </c>
      <c r="BI252" s="1">
        <v>19037132.909999996</v>
      </c>
      <c r="BJ252" s="1">
        <v>19664737.660000004</v>
      </c>
      <c r="BK252" s="1">
        <v>14130144.589999998</v>
      </c>
      <c r="BL252" s="1">
        <v>15562863.879999997</v>
      </c>
      <c r="BM252" s="1">
        <v>18232293.350000005</v>
      </c>
      <c r="BN252" s="1">
        <v>13333004.4</v>
      </c>
      <c r="BO252" s="1">
        <v>14797652.510000005</v>
      </c>
      <c r="BP252" s="1">
        <v>8301627.2299999995</v>
      </c>
      <c r="BQ252" s="1">
        <v>11552322.68</v>
      </c>
      <c r="BR252" s="1">
        <v>7929470.379999999</v>
      </c>
      <c r="BS252" s="1">
        <v>13187910.289999997</v>
      </c>
      <c r="BT252" s="1">
        <v>17334019.93</v>
      </c>
      <c r="BU252" s="1">
        <v>4638252.4100000011</v>
      </c>
      <c r="BV252" s="1">
        <v>26102320.690000005</v>
      </c>
      <c r="BW252" s="1">
        <v>25172653.019999996</v>
      </c>
      <c r="BX252" s="1">
        <v>10890945.689999999</v>
      </c>
      <c r="BY252" s="1">
        <v>16409365.170000006</v>
      </c>
      <c r="BZ252" s="1">
        <v>15268503.58</v>
      </c>
      <c r="CA252" s="1">
        <v>15916627.120000003</v>
      </c>
      <c r="CB252" s="1">
        <v>10761523.539999999</v>
      </c>
      <c r="CC252" s="1">
        <v>13883648.27</v>
      </c>
      <c r="CD252" s="1">
        <v>10800926.770000001</v>
      </c>
      <c r="CE252" s="1">
        <v>19271524.75</v>
      </c>
      <c r="CF252" s="1">
        <v>9854295.4799999986</v>
      </c>
      <c r="CG252" s="1">
        <v>27755098.229999997</v>
      </c>
      <c r="CH252" s="1">
        <v>7872958.2999999998</v>
      </c>
      <c r="CI252" s="1">
        <v>18540165.070000008</v>
      </c>
      <c r="CJ252" s="1">
        <v>2694663.8300000005</v>
      </c>
      <c r="CK252" s="1">
        <v>9729658.3899999987</v>
      </c>
      <c r="CL252" s="1">
        <v>15312039.860000001</v>
      </c>
      <c r="CM252" s="1">
        <v>21390206.469999995</v>
      </c>
      <c r="CN252" s="1">
        <v>18445159.460000001</v>
      </c>
      <c r="CO252" s="1">
        <v>14608351.16</v>
      </c>
      <c r="CP252" s="1">
        <v>17694374.509999998</v>
      </c>
      <c r="CQ252" s="1">
        <v>10704811.649999999</v>
      </c>
      <c r="CR252" s="1">
        <v>21842715.420000002</v>
      </c>
      <c r="CS252" s="1">
        <v>35403747.879999995</v>
      </c>
      <c r="CT252" s="1">
        <v>30532515.979999997</v>
      </c>
      <c r="CU252" s="1">
        <v>25701700.780000005</v>
      </c>
      <c r="CV252" s="1">
        <v>13623952.829999998</v>
      </c>
      <c r="CW252" s="1">
        <v>17228116.98</v>
      </c>
      <c r="CX252" s="1">
        <v>21223137.709999997</v>
      </c>
      <c r="CY252" s="1">
        <v>18951367.07</v>
      </c>
      <c r="CZ252" s="1">
        <v>11146355.4</v>
      </c>
      <c r="DA252" s="1">
        <v>18662251.68</v>
      </c>
      <c r="DB252" s="1">
        <v>14170185.939999999</v>
      </c>
      <c r="DC252" s="1">
        <v>16105466.83</v>
      </c>
      <c r="DD252" s="1">
        <v>0</v>
      </c>
      <c r="DE252" s="1">
        <v>0</v>
      </c>
      <c r="DF252" s="1">
        <v>0</v>
      </c>
      <c r="DH252" s="6">
        <f t="shared" si="87"/>
        <v>1089024399.5360003</v>
      </c>
    </row>
    <row r="253" spans="1:112" x14ac:dyDescent="0.2">
      <c r="A253" s="5" t="str">
        <f>A252</f>
        <v>PA</v>
      </c>
      <c r="B253" s="5" t="s">
        <v>41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1069560.81</v>
      </c>
      <c r="U253" s="1">
        <v>2222293.3200000003</v>
      </c>
      <c r="V253" s="1">
        <v>3772721.8899999997</v>
      </c>
      <c r="W253" s="1">
        <v>4445944.3400000008</v>
      </c>
      <c r="X253" s="1">
        <v>4168527.84</v>
      </c>
      <c r="Y253" s="1">
        <v>5850085.8100000005</v>
      </c>
      <c r="Z253" s="1">
        <v>6095740.7200000007</v>
      </c>
      <c r="AA253" s="1">
        <v>8739610.9700000007</v>
      </c>
      <c r="AB253" s="1">
        <v>6709845.6399999987</v>
      </c>
      <c r="AC253" s="1">
        <v>1716864.33</v>
      </c>
      <c r="AD253" s="1">
        <v>319209.26</v>
      </c>
      <c r="AE253" s="1">
        <v>1089707.47</v>
      </c>
      <c r="AF253" s="1">
        <v>1299631.8399999999</v>
      </c>
      <c r="AG253" s="1">
        <v>5504385.75</v>
      </c>
      <c r="AH253" s="1">
        <v>9319601.6500000004</v>
      </c>
      <c r="AI253" s="1">
        <v>12008896.050000001</v>
      </c>
      <c r="AJ253" s="1">
        <v>11057721.129999999</v>
      </c>
      <c r="AK253" s="1">
        <v>11150196.690000001</v>
      </c>
      <c r="AL253" s="1">
        <v>11284808.929999998</v>
      </c>
      <c r="AM253" s="1">
        <v>15334872.42</v>
      </c>
      <c r="AN253" s="1">
        <v>16791313.16</v>
      </c>
      <c r="AO253" s="1">
        <v>11676923.67</v>
      </c>
      <c r="AP253" s="1">
        <v>9737243.6099999994</v>
      </c>
      <c r="AQ253" s="1">
        <v>9672828.1799999997</v>
      </c>
      <c r="AR253" s="1">
        <v>8269812.2400000012</v>
      </c>
      <c r="AS253" s="1">
        <v>7626339.8400000008</v>
      </c>
      <c r="AT253" s="1">
        <v>7308713.4500000002</v>
      </c>
      <c r="AU253" s="1">
        <v>19859879.719999999</v>
      </c>
      <c r="AV253" s="1">
        <v>18749589.359999999</v>
      </c>
      <c r="AW253" s="1">
        <v>21253038.190000001</v>
      </c>
      <c r="AX253" s="1">
        <v>19135706.610000003</v>
      </c>
      <c r="AY253" s="1">
        <v>21233723.77</v>
      </c>
      <c r="AZ253" s="1">
        <v>22603400.140000001</v>
      </c>
      <c r="BA253" s="1">
        <v>18111683.199999999</v>
      </c>
      <c r="BB253" s="1">
        <v>15416273.909999998</v>
      </c>
      <c r="BC253" s="1">
        <v>12818703.350000001</v>
      </c>
      <c r="BD253" s="1">
        <v>10120001.609999999</v>
      </c>
      <c r="BE253" s="1">
        <v>7782017.5199999996</v>
      </c>
      <c r="BF253" s="1">
        <v>8231845.1599999992</v>
      </c>
      <c r="BG253" s="1">
        <v>25102124.479999997</v>
      </c>
      <c r="BH253" s="1">
        <v>21005555.839999996</v>
      </c>
      <c r="BI253" s="1">
        <v>17117024</v>
      </c>
      <c r="BJ253" s="1">
        <v>16614499.170000002</v>
      </c>
      <c r="BK253" s="1">
        <v>18731667.039999999</v>
      </c>
      <c r="BL253" s="1">
        <v>18984324.640000001</v>
      </c>
      <c r="BM253" s="1">
        <v>15879350.239999998</v>
      </c>
      <c r="BN253" s="1">
        <v>14750340.360000001</v>
      </c>
      <c r="BO253" s="1">
        <v>16429154.139999997</v>
      </c>
      <c r="BP253" s="1">
        <v>10806649.439999999</v>
      </c>
      <c r="BQ253" s="1">
        <v>7316568.2200000016</v>
      </c>
      <c r="BR253" s="1">
        <v>8588258.4800000004</v>
      </c>
      <c r="BS253" s="1">
        <v>29476489.620000001</v>
      </c>
      <c r="BT253" s="1">
        <v>25481141.830000002</v>
      </c>
      <c r="BU253" s="1">
        <v>36263944.840000004</v>
      </c>
      <c r="BV253" s="1">
        <v>25591286.09</v>
      </c>
      <c r="BW253" s="1">
        <v>27757362.91</v>
      </c>
      <c r="BX253" s="1">
        <v>20173051.309999999</v>
      </c>
      <c r="BY253" s="1">
        <v>18134033.59</v>
      </c>
      <c r="BZ253" s="1">
        <v>16638197.969999999</v>
      </c>
      <c r="CA253" s="1">
        <v>17468082.419999998</v>
      </c>
      <c r="CB253" s="1">
        <v>13105079.130000001</v>
      </c>
      <c r="CC253" s="1">
        <v>14161687.9</v>
      </c>
      <c r="CD253" s="1">
        <v>15433177.760000002</v>
      </c>
      <c r="CE253" s="1">
        <v>42283537.149999999</v>
      </c>
      <c r="CF253" s="1">
        <v>30759418.949999996</v>
      </c>
      <c r="CG253" s="1">
        <v>26170795.049999997</v>
      </c>
      <c r="CH253" s="1">
        <v>25619412.589999996</v>
      </c>
      <c r="CI253" s="1">
        <v>32771654.619999997</v>
      </c>
      <c r="CJ253" s="1">
        <v>26476799.989999995</v>
      </c>
      <c r="CK253" s="1">
        <v>22162472.150000002</v>
      </c>
      <c r="CL253" s="1">
        <v>19250519.23</v>
      </c>
      <c r="CM253" s="1">
        <v>16647202.440000001</v>
      </c>
      <c r="CN253" s="1">
        <v>15575659.590000002</v>
      </c>
      <c r="CO253" s="1">
        <v>11598708.159999998</v>
      </c>
      <c r="CP253" s="1">
        <v>17382545.859999999</v>
      </c>
      <c r="CQ253" s="1">
        <v>42043915.549999997</v>
      </c>
      <c r="CR253" s="1">
        <v>31169901.310000002</v>
      </c>
      <c r="CS253" s="1">
        <v>27056624.899999999</v>
      </c>
      <c r="CT253" s="1">
        <v>19025504.049999997</v>
      </c>
      <c r="CU253" s="1">
        <v>24217864.109999999</v>
      </c>
      <c r="CV253" s="1">
        <v>16638392.32</v>
      </c>
      <c r="CW253" s="1">
        <v>19813170.889999997</v>
      </c>
      <c r="CX253" s="1">
        <v>18220037.120000005</v>
      </c>
      <c r="CY253" s="1">
        <v>15006963.700000003</v>
      </c>
      <c r="CZ253" s="1">
        <v>17068263.620000001</v>
      </c>
      <c r="DA253" s="1">
        <v>12944516.589999998</v>
      </c>
      <c r="DB253" s="1">
        <v>11106233.069999998</v>
      </c>
      <c r="DC253" s="1">
        <v>28772457.220000003</v>
      </c>
      <c r="DD253" s="1">
        <v>0</v>
      </c>
      <c r="DE253" s="1">
        <v>0</v>
      </c>
      <c r="DF253" s="1">
        <v>0</v>
      </c>
      <c r="DH253" s="6">
        <f t="shared" si="87"/>
        <v>1410350885.1999998</v>
      </c>
    </row>
    <row r="254" spans="1:112" x14ac:dyDescent="0.2">
      <c r="A254" s="5" t="s">
        <v>34</v>
      </c>
      <c r="B254" s="5" t="s">
        <v>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>
        <v>682714</v>
      </c>
      <c r="N254" s="1">
        <v>13087999</v>
      </c>
      <c r="O254" s="1">
        <v>19051125</v>
      </c>
      <c r="P254" s="1">
        <v>20686618</v>
      </c>
      <c r="Q254" s="1">
        <v>23582716</v>
      </c>
      <c r="R254" s="1">
        <v>16859818</v>
      </c>
      <c r="S254" s="1">
        <v>18900152</v>
      </c>
      <c r="T254" s="1">
        <v>14736667</v>
      </c>
      <c r="U254" s="1">
        <v>8321947</v>
      </c>
      <c r="V254" s="1">
        <v>10060066</v>
      </c>
      <c r="W254" s="1">
        <v>22195789</v>
      </c>
      <c r="X254" s="1">
        <v>28281025</v>
      </c>
      <c r="Y254" s="1">
        <v>31465062</v>
      </c>
      <c r="Z254" s="1">
        <v>31670511</v>
      </c>
      <c r="AA254" s="1">
        <v>26939692</v>
      </c>
      <c r="AB254" s="1">
        <v>28147862</v>
      </c>
      <c r="AC254" s="1">
        <v>8949157</v>
      </c>
      <c r="AD254" s="1">
        <v>591377</v>
      </c>
      <c r="AE254" s="1">
        <v>1533114</v>
      </c>
      <c r="AF254" s="1">
        <v>2032803</v>
      </c>
      <c r="AG254" s="1">
        <v>6738626</v>
      </c>
      <c r="AH254" s="1">
        <v>23116965</v>
      </c>
      <c r="AI254" s="1">
        <v>31293150</v>
      </c>
      <c r="AJ254" s="1">
        <v>34704413</v>
      </c>
      <c r="AK254" s="1">
        <v>35098445</v>
      </c>
      <c r="AL254" s="1">
        <v>22770472</v>
      </c>
      <c r="AM254" s="1">
        <v>39817327</v>
      </c>
      <c r="AN254" s="1">
        <v>34110104</v>
      </c>
      <c r="AO254" s="1">
        <v>38583919</v>
      </c>
      <c r="AP254" s="1">
        <v>29040966</v>
      </c>
      <c r="AQ254" s="1">
        <v>28252139</v>
      </c>
      <c r="AR254" s="1">
        <v>29468571</v>
      </c>
      <c r="AS254" s="1">
        <v>22095960</v>
      </c>
      <c r="AT254" s="1">
        <v>24042834</v>
      </c>
      <c r="AU254" s="1">
        <v>41203997</v>
      </c>
      <c r="AV254" s="1">
        <v>60158844</v>
      </c>
      <c r="AW254" s="1">
        <v>52747831</v>
      </c>
      <c r="AX254" s="1">
        <v>54935498</v>
      </c>
      <c r="AY254" s="1">
        <v>58614487</v>
      </c>
      <c r="AZ254" s="1">
        <v>42143261</v>
      </c>
      <c r="BA254" s="1">
        <v>45766958</v>
      </c>
      <c r="BB254" s="1">
        <v>40186632</v>
      </c>
      <c r="BC254" s="1">
        <v>41103489</v>
      </c>
      <c r="BD254" s="1">
        <v>34229823</v>
      </c>
      <c r="BE254" s="1">
        <v>25208531</v>
      </c>
      <c r="BF254" s="1">
        <v>27744694</v>
      </c>
      <c r="BG254" s="1">
        <v>41670257</v>
      </c>
      <c r="BH254" s="1">
        <v>55527937</v>
      </c>
      <c r="BI254" s="1">
        <v>61208319</v>
      </c>
      <c r="BJ254" s="1">
        <v>59205426</v>
      </c>
      <c r="BK254" s="1">
        <v>62317384</v>
      </c>
      <c r="BL254" s="1">
        <v>43065996</v>
      </c>
      <c r="BM254" s="1">
        <v>41546643</v>
      </c>
      <c r="BN254" s="1">
        <v>37496094</v>
      </c>
      <c r="BO254" s="1">
        <v>30754497</v>
      </c>
      <c r="BP254" s="1">
        <v>23723659</v>
      </c>
      <c r="BQ254" s="1">
        <v>20238844</v>
      </c>
      <c r="BR254" s="1">
        <v>22472561</v>
      </c>
      <c r="BS254" s="1">
        <v>37645368</v>
      </c>
      <c r="BT254" s="1">
        <v>45840376</v>
      </c>
      <c r="BU254" s="1">
        <v>48277794</v>
      </c>
      <c r="BV254" s="1">
        <v>47904210</v>
      </c>
      <c r="BW254" s="1">
        <v>44808686</v>
      </c>
      <c r="BX254" s="1">
        <v>38758578</v>
      </c>
      <c r="BY254" s="1">
        <v>44895394</v>
      </c>
      <c r="BZ254" s="1">
        <v>37709038</v>
      </c>
      <c r="CA254" s="1">
        <v>37252539</v>
      </c>
      <c r="CB254" s="1">
        <v>33010501</v>
      </c>
      <c r="CC254" s="1">
        <v>24848015</v>
      </c>
      <c r="CD254" s="1">
        <v>28371561</v>
      </c>
      <c r="CE254" s="1">
        <v>43604786</v>
      </c>
      <c r="CF254" s="1">
        <v>49404162</v>
      </c>
      <c r="CG254" s="1">
        <v>50647990</v>
      </c>
      <c r="CH254" s="1">
        <v>50375014</v>
      </c>
      <c r="CI254" s="1">
        <v>47358801</v>
      </c>
      <c r="CJ254" s="1">
        <v>35164802</v>
      </c>
      <c r="CK254" s="1">
        <v>43701613</v>
      </c>
      <c r="CL254" s="1">
        <v>36605834</v>
      </c>
      <c r="CM254" s="1">
        <v>35521600</v>
      </c>
      <c r="CN254" s="1">
        <v>27317451</v>
      </c>
      <c r="CO254" s="1">
        <v>22587607</v>
      </c>
      <c r="CP254" s="1">
        <v>27017446</v>
      </c>
      <c r="CQ254" s="1">
        <v>38875550</v>
      </c>
      <c r="CR254" s="1">
        <v>43707753</v>
      </c>
      <c r="CS254" s="1">
        <v>47073707</v>
      </c>
      <c r="CT254" s="1">
        <v>38769862</v>
      </c>
      <c r="CU254" s="1">
        <v>40721129</v>
      </c>
      <c r="CV254" s="1">
        <v>30330898</v>
      </c>
      <c r="CW254" s="1">
        <v>37246407</v>
      </c>
      <c r="CX254" s="1">
        <v>32953246</v>
      </c>
      <c r="CY254" s="1">
        <v>31644950</v>
      </c>
      <c r="CZ254" s="1">
        <v>31473713</v>
      </c>
      <c r="DA254" s="1">
        <v>24845527</v>
      </c>
      <c r="DB254" s="1">
        <v>25934587</v>
      </c>
      <c r="DC254" s="1">
        <v>0</v>
      </c>
      <c r="DD254" s="1">
        <v>0</v>
      </c>
      <c r="DE254" s="1">
        <v>0</v>
      </c>
      <c r="DF254" s="1">
        <v>0</v>
      </c>
      <c r="DH254" s="6">
        <f t="shared" si="87"/>
        <v>3112388262</v>
      </c>
    </row>
    <row r="255" spans="1:112" x14ac:dyDescent="0.2">
      <c r="A255" s="5" t="s">
        <v>34</v>
      </c>
      <c r="B255" s="5" t="s">
        <v>42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3292636</v>
      </c>
      <c r="X255" s="1">
        <v>5862603</v>
      </c>
      <c r="Y255" s="1">
        <v>8353409</v>
      </c>
      <c r="Z255" s="1">
        <v>8751004</v>
      </c>
      <c r="AA255" s="1">
        <v>7798844</v>
      </c>
      <c r="AB255" s="1">
        <v>8465930</v>
      </c>
      <c r="AC255" s="1">
        <v>3064736</v>
      </c>
      <c r="AD255" s="1">
        <v>589260</v>
      </c>
      <c r="AE255" s="1">
        <v>1530671</v>
      </c>
      <c r="AF255" s="1">
        <v>2100736</v>
      </c>
      <c r="AG255" s="1">
        <v>4402795</v>
      </c>
      <c r="AH255" s="1">
        <v>10436956</v>
      </c>
      <c r="AI255" s="1">
        <v>14091055</v>
      </c>
      <c r="AJ255" s="1">
        <v>15369112</v>
      </c>
      <c r="AK255" s="1">
        <v>15699743</v>
      </c>
      <c r="AL255" s="1">
        <v>18339059</v>
      </c>
      <c r="AM255" s="1">
        <v>21885438</v>
      </c>
      <c r="AN255" s="1">
        <v>17819685</v>
      </c>
      <c r="AO255" s="1">
        <v>21209577</v>
      </c>
      <c r="AP255" s="1">
        <v>16101614</v>
      </c>
      <c r="AQ255" s="1">
        <v>14615837</v>
      </c>
      <c r="AR255" s="1">
        <v>14629766</v>
      </c>
      <c r="AS255" s="1">
        <v>11099005</v>
      </c>
      <c r="AT255" s="1">
        <v>11826464</v>
      </c>
      <c r="AU255" s="1">
        <v>21061207</v>
      </c>
      <c r="AV255" s="1">
        <v>31148299</v>
      </c>
      <c r="AW255" s="1">
        <v>28710473</v>
      </c>
      <c r="AX255" s="1">
        <v>30969425</v>
      </c>
      <c r="AY255" s="1">
        <v>33497538</v>
      </c>
      <c r="AZ255" s="1">
        <v>23388154</v>
      </c>
      <c r="BA255" s="1">
        <v>27095882</v>
      </c>
      <c r="BB255" s="1">
        <v>25462741</v>
      </c>
      <c r="BC255" s="1">
        <v>25302131</v>
      </c>
      <c r="BD255" s="1">
        <v>20910117</v>
      </c>
      <c r="BE255" s="1">
        <v>16022654</v>
      </c>
      <c r="BF255" s="1">
        <v>17853261</v>
      </c>
      <c r="BG255" s="1">
        <v>26821742</v>
      </c>
      <c r="BH255" s="1">
        <v>34322050</v>
      </c>
      <c r="BI255" s="1">
        <v>37008207</v>
      </c>
      <c r="BJ255" s="1">
        <v>36720493</v>
      </c>
      <c r="BK255" s="1">
        <v>37474108</v>
      </c>
      <c r="BL255" s="1">
        <v>28452857</v>
      </c>
      <c r="BM255" s="1">
        <v>30024529</v>
      </c>
      <c r="BN255" s="1">
        <v>27529845</v>
      </c>
      <c r="BO255" s="1">
        <v>22381893</v>
      </c>
      <c r="BP255" s="1">
        <v>17272864</v>
      </c>
      <c r="BQ255" s="1">
        <v>15379475</v>
      </c>
      <c r="BR255" s="1">
        <v>17711578</v>
      </c>
      <c r="BS255" s="1">
        <v>28692537</v>
      </c>
      <c r="BT255" s="1">
        <v>36351155</v>
      </c>
      <c r="BU255" s="1">
        <v>38636629</v>
      </c>
      <c r="BV255" s="1">
        <v>39078149</v>
      </c>
      <c r="BW255" s="1">
        <v>34843880</v>
      </c>
      <c r="BX255" s="1">
        <v>30375623</v>
      </c>
      <c r="BY255" s="1">
        <v>37046965</v>
      </c>
      <c r="BZ255" s="1">
        <v>31370799</v>
      </c>
      <c r="CA255" s="1">
        <v>30494955</v>
      </c>
      <c r="CB255" s="1">
        <v>26993071</v>
      </c>
      <c r="CC255" s="1">
        <v>21002895</v>
      </c>
      <c r="CD255" s="1">
        <v>23625010</v>
      </c>
      <c r="CE255" s="1">
        <v>34612396</v>
      </c>
      <c r="CF255" s="1">
        <v>39831547</v>
      </c>
      <c r="CG255" s="1">
        <v>40076726</v>
      </c>
      <c r="CH255" s="1">
        <v>41820019</v>
      </c>
      <c r="CI255" s="1">
        <v>39144841</v>
      </c>
      <c r="CJ255" s="1">
        <v>29690290</v>
      </c>
      <c r="CK255" s="1">
        <v>37988770</v>
      </c>
      <c r="CL255" s="1">
        <v>32122754</v>
      </c>
      <c r="CM255" s="1">
        <v>31118996</v>
      </c>
      <c r="CN255" s="1">
        <v>24128962</v>
      </c>
      <c r="CO255" s="1">
        <v>20085276</v>
      </c>
      <c r="CP255" s="1">
        <v>23716534</v>
      </c>
      <c r="CQ255" s="1">
        <v>33359426</v>
      </c>
      <c r="CR255" s="1">
        <v>37933162</v>
      </c>
      <c r="CS255" s="1">
        <v>40910021</v>
      </c>
      <c r="CT255" s="1">
        <v>33017098</v>
      </c>
      <c r="CU255" s="1">
        <v>34939756</v>
      </c>
      <c r="CV255" s="1">
        <v>26028879</v>
      </c>
      <c r="CW255" s="1">
        <v>31558264</v>
      </c>
      <c r="CX255" s="1">
        <v>28413453</v>
      </c>
      <c r="CY255" s="1">
        <v>27039623</v>
      </c>
      <c r="CZ255" s="1">
        <v>27575534</v>
      </c>
      <c r="DA255" s="1">
        <v>21723164</v>
      </c>
      <c r="DB255" s="1">
        <v>22222579</v>
      </c>
      <c r="DC255" s="1">
        <v>0</v>
      </c>
      <c r="DD255" s="1">
        <v>0</v>
      </c>
      <c r="DE255" s="1">
        <v>0</v>
      </c>
      <c r="DF255" s="1">
        <v>0</v>
      </c>
      <c r="DH255" s="6">
        <f t="shared" si="87"/>
        <v>2027427196</v>
      </c>
    </row>
    <row r="256" spans="1:112" x14ac:dyDescent="0.2">
      <c r="A256" s="5" t="s">
        <v>34</v>
      </c>
      <c r="B256" s="5" t="s">
        <v>43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>
        <f t="shared" ref="M256:BO256" si="112">M254-M255</f>
        <v>682714</v>
      </c>
      <c r="N256" s="1">
        <f t="shared" si="112"/>
        <v>13087999</v>
      </c>
      <c r="O256" s="1">
        <f t="shared" si="112"/>
        <v>19051125</v>
      </c>
      <c r="P256" s="1">
        <f t="shared" si="112"/>
        <v>20686618</v>
      </c>
      <c r="Q256" s="1">
        <f t="shared" si="112"/>
        <v>23582716</v>
      </c>
      <c r="R256" s="1">
        <f t="shared" si="112"/>
        <v>16859818</v>
      </c>
      <c r="S256" s="1">
        <f t="shared" si="112"/>
        <v>18900152</v>
      </c>
      <c r="T256" s="1">
        <f t="shared" si="112"/>
        <v>14736667</v>
      </c>
      <c r="U256" s="1">
        <f t="shared" si="112"/>
        <v>8321947</v>
      </c>
      <c r="V256" s="1">
        <f t="shared" si="112"/>
        <v>10060066</v>
      </c>
      <c r="W256" s="1">
        <f t="shared" si="112"/>
        <v>18903153</v>
      </c>
      <c r="X256" s="1">
        <f t="shared" si="112"/>
        <v>22418422</v>
      </c>
      <c r="Y256" s="1">
        <f t="shared" si="112"/>
        <v>23111653</v>
      </c>
      <c r="Z256" s="1">
        <f t="shared" si="112"/>
        <v>22919507</v>
      </c>
      <c r="AA256" s="1">
        <f t="shared" si="112"/>
        <v>19140848</v>
      </c>
      <c r="AB256" s="1">
        <f t="shared" si="112"/>
        <v>19681932</v>
      </c>
      <c r="AC256" s="1">
        <f t="shared" si="112"/>
        <v>5884421</v>
      </c>
      <c r="AD256" s="1">
        <f t="shared" si="112"/>
        <v>2117</v>
      </c>
      <c r="AE256" s="1">
        <f t="shared" si="112"/>
        <v>2443</v>
      </c>
      <c r="AF256" s="1">
        <f t="shared" si="112"/>
        <v>-67933</v>
      </c>
      <c r="AG256" s="1">
        <f t="shared" si="112"/>
        <v>2335831</v>
      </c>
      <c r="AH256" s="1">
        <f t="shared" si="112"/>
        <v>12680009</v>
      </c>
      <c r="AI256" s="1">
        <f t="shared" si="112"/>
        <v>17202095</v>
      </c>
      <c r="AJ256" s="1">
        <f t="shared" si="112"/>
        <v>19335301</v>
      </c>
      <c r="AK256" s="1">
        <f t="shared" si="112"/>
        <v>19398702</v>
      </c>
      <c r="AL256" s="1">
        <f t="shared" si="112"/>
        <v>4431413</v>
      </c>
      <c r="AM256" s="1">
        <f t="shared" si="112"/>
        <v>17931889</v>
      </c>
      <c r="AN256" s="1">
        <f t="shared" si="112"/>
        <v>16290419</v>
      </c>
      <c r="AO256" s="1">
        <f t="shared" si="112"/>
        <v>17374342</v>
      </c>
      <c r="AP256" s="1">
        <f t="shared" si="112"/>
        <v>12939352</v>
      </c>
      <c r="AQ256" s="1">
        <f t="shared" si="112"/>
        <v>13636302</v>
      </c>
      <c r="AR256" s="1">
        <f t="shared" si="112"/>
        <v>14838805</v>
      </c>
      <c r="AS256" s="1">
        <f t="shared" si="112"/>
        <v>10996955</v>
      </c>
      <c r="AT256" s="1">
        <f t="shared" si="112"/>
        <v>12216370</v>
      </c>
      <c r="AU256" s="1">
        <f t="shared" si="112"/>
        <v>20142790</v>
      </c>
      <c r="AV256" s="1">
        <f t="shared" si="112"/>
        <v>29010545</v>
      </c>
      <c r="AW256" s="1">
        <f t="shared" si="112"/>
        <v>24037358</v>
      </c>
      <c r="AX256" s="1">
        <f t="shared" si="112"/>
        <v>23966073</v>
      </c>
      <c r="AY256" s="1">
        <f t="shared" si="112"/>
        <v>25116949</v>
      </c>
      <c r="AZ256" s="1">
        <f t="shared" si="112"/>
        <v>18755107</v>
      </c>
      <c r="BA256" s="1">
        <f t="shared" si="112"/>
        <v>18671076</v>
      </c>
      <c r="BB256" s="1">
        <f t="shared" si="112"/>
        <v>14723891</v>
      </c>
      <c r="BC256" s="1">
        <f t="shared" si="112"/>
        <v>15801358</v>
      </c>
      <c r="BD256" s="1">
        <f t="shared" si="112"/>
        <v>13319706</v>
      </c>
      <c r="BE256" s="1">
        <f t="shared" si="112"/>
        <v>9185877</v>
      </c>
      <c r="BF256" s="1">
        <f t="shared" si="112"/>
        <v>9891433</v>
      </c>
      <c r="BG256" s="1">
        <f t="shared" si="112"/>
        <v>14848515</v>
      </c>
      <c r="BH256" s="1">
        <f t="shared" si="112"/>
        <v>21205887</v>
      </c>
      <c r="BI256" s="1">
        <f t="shared" si="112"/>
        <v>24200112</v>
      </c>
      <c r="BJ256" s="1">
        <f t="shared" si="112"/>
        <v>22484933</v>
      </c>
      <c r="BK256" s="1">
        <f t="shared" si="112"/>
        <v>24843276</v>
      </c>
      <c r="BL256" s="1">
        <f t="shared" si="112"/>
        <v>14613139</v>
      </c>
      <c r="BM256" s="1">
        <f t="shared" si="112"/>
        <v>11522114</v>
      </c>
      <c r="BN256" s="1">
        <f t="shared" si="112"/>
        <v>9966249</v>
      </c>
      <c r="BO256" s="1">
        <f t="shared" si="112"/>
        <v>8372604</v>
      </c>
      <c r="BP256" s="1">
        <f>BP254-BP255</f>
        <v>6450795</v>
      </c>
      <c r="BQ256" s="1">
        <f t="shared" ref="BQ256:CC256" si="113">BQ254-BQ255</f>
        <v>4859369</v>
      </c>
      <c r="BR256" s="1">
        <f t="shared" si="113"/>
        <v>4760983</v>
      </c>
      <c r="BS256" s="1">
        <f t="shared" si="113"/>
        <v>8952831</v>
      </c>
      <c r="BT256" s="1">
        <f t="shared" si="113"/>
        <v>9489221</v>
      </c>
      <c r="BU256" s="1">
        <f t="shared" si="113"/>
        <v>9641165</v>
      </c>
      <c r="BV256" s="1">
        <f t="shared" si="113"/>
        <v>8826061</v>
      </c>
      <c r="BW256" s="1">
        <f t="shared" si="113"/>
        <v>9964806</v>
      </c>
      <c r="BX256" s="1">
        <f t="shared" si="113"/>
        <v>8382955</v>
      </c>
      <c r="BY256" s="1">
        <f t="shared" si="113"/>
        <v>7848429</v>
      </c>
      <c r="BZ256" s="1">
        <f t="shared" si="113"/>
        <v>6338239</v>
      </c>
      <c r="CA256" s="1">
        <f t="shared" si="113"/>
        <v>6757584</v>
      </c>
      <c r="CB256" s="1">
        <f t="shared" si="113"/>
        <v>6017430</v>
      </c>
      <c r="CC256" s="1">
        <f t="shared" si="113"/>
        <v>3845120</v>
      </c>
      <c r="CD256" s="1">
        <f>CD254-CD255</f>
        <v>4746551</v>
      </c>
      <c r="CE256" s="1">
        <f>CE254-CE255</f>
        <v>8992390</v>
      </c>
      <c r="CF256" s="1">
        <f>CF254-CF255</f>
        <v>9572615</v>
      </c>
      <c r="CG256" s="1">
        <f>CG254-CG255</f>
        <v>10571264</v>
      </c>
      <c r="CH256" s="1">
        <f>CH254-CH255</f>
        <v>8554995</v>
      </c>
      <c r="CI256" s="1">
        <f t="shared" ref="CI256:DF256" si="114">CI254-CI255</f>
        <v>8213960</v>
      </c>
      <c r="CJ256" s="1">
        <f t="shared" si="114"/>
        <v>5474512</v>
      </c>
      <c r="CK256" s="1">
        <f t="shared" si="114"/>
        <v>5712843</v>
      </c>
      <c r="CL256" s="1">
        <f t="shared" si="114"/>
        <v>4483080</v>
      </c>
      <c r="CM256" s="1">
        <f t="shared" si="114"/>
        <v>4402604</v>
      </c>
      <c r="CN256" s="1">
        <f t="shared" si="114"/>
        <v>3188489</v>
      </c>
      <c r="CO256" s="1">
        <f t="shared" si="114"/>
        <v>2502331</v>
      </c>
      <c r="CP256" s="1">
        <f t="shared" si="114"/>
        <v>3300912</v>
      </c>
      <c r="CQ256" s="1">
        <f t="shared" si="114"/>
        <v>5516124</v>
      </c>
      <c r="CR256" s="1">
        <f t="shared" si="114"/>
        <v>5774591</v>
      </c>
      <c r="CS256" s="1">
        <f t="shared" si="114"/>
        <v>6163686</v>
      </c>
      <c r="CT256" s="1">
        <f t="shared" si="114"/>
        <v>5752764</v>
      </c>
      <c r="CU256" s="1">
        <f t="shared" si="114"/>
        <v>5781373</v>
      </c>
      <c r="CV256" s="1">
        <f t="shared" si="114"/>
        <v>4302019</v>
      </c>
      <c r="CW256" s="1">
        <f t="shared" si="114"/>
        <v>5688143</v>
      </c>
      <c r="CX256" s="1">
        <f t="shared" si="114"/>
        <v>4539793</v>
      </c>
      <c r="CY256" s="1">
        <f t="shared" si="114"/>
        <v>4605327</v>
      </c>
      <c r="CZ256" s="1">
        <f t="shared" si="114"/>
        <v>3898179</v>
      </c>
      <c r="DA256" s="1">
        <f t="shared" si="114"/>
        <v>3122363</v>
      </c>
      <c r="DB256" s="1">
        <f t="shared" si="114"/>
        <v>3712008</v>
      </c>
      <c r="DC256" s="1">
        <f t="shared" si="114"/>
        <v>0</v>
      </c>
      <c r="DD256" s="1">
        <f t="shared" si="114"/>
        <v>0</v>
      </c>
      <c r="DE256" s="1">
        <f t="shared" si="114"/>
        <v>0</v>
      </c>
      <c r="DF256" s="1">
        <f t="shared" si="114"/>
        <v>0</v>
      </c>
      <c r="DH256" s="6">
        <f t="shared" si="87"/>
        <v>1084961066</v>
      </c>
    </row>
    <row r="257" spans="1:112" x14ac:dyDescent="0.2">
      <c r="A257" s="5" t="s">
        <v>34</v>
      </c>
      <c r="B257" s="5" t="s">
        <v>5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>
        <v>72997</v>
      </c>
      <c r="N257" s="1">
        <v>957913</v>
      </c>
      <c r="O257" s="1">
        <v>159978</v>
      </c>
      <c r="P257" s="1">
        <v>-890623</v>
      </c>
      <c r="Q257" s="1">
        <v>1548230</v>
      </c>
      <c r="R257" s="1">
        <v>1970110</v>
      </c>
      <c r="S257" s="1">
        <v>899165</v>
      </c>
      <c r="T257" s="1">
        <v>2149999</v>
      </c>
      <c r="U257" s="1">
        <v>827579</v>
      </c>
      <c r="V257" s="1">
        <v>851788</v>
      </c>
      <c r="W257" s="1">
        <v>2516060</v>
      </c>
      <c r="X257" s="1">
        <v>2457137</v>
      </c>
      <c r="Y257" s="1">
        <v>2745517</v>
      </c>
      <c r="Z257" s="1">
        <v>2571755</v>
      </c>
      <c r="AA257" s="1">
        <v>3279241</v>
      </c>
      <c r="AB257" s="1">
        <v>2323432</v>
      </c>
      <c r="AC257" s="1">
        <v>841767</v>
      </c>
      <c r="AD257" s="1">
        <v>27381</v>
      </c>
      <c r="AE257" s="1">
        <v>163472</v>
      </c>
      <c r="AF257" s="1">
        <v>101328</v>
      </c>
      <c r="AG257" s="1">
        <v>351425</v>
      </c>
      <c r="AH257" s="1">
        <v>1423391</v>
      </c>
      <c r="AI257" s="1">
        <v>2352788</v>
      </c>
      <c r="AJ257" s="1">
        <v>4388841</v>
      </c>
      <c r="AK257" s="1">
        <v>6281321</v>
      </c>
      <c r="AL257" s="1">
        <v>2533090</v>
      </c>
      <c r="AM257" s="1">
        <v>3717200</v>
      </c>
      <c r="AN257" s="1">
        <v>1555824</v>
      </c>
      <c r="AO257" s="1">
        <v>3976140</v>
      </c>
      <c r="AP257" s="1">
        <v>3168532</v>
      </c>
      <c r="AQ257" s="1">
        <v>2772910</v>
      </c>
      <c r="AR257" s="1">
        <v>3666029</v>
      </c>
      <c r="AS257" s="1">
        <v>3263276</v>
      </c>
      <c r="AT257" s="1">
        <v>1129859</v>
      </c>
      <c r="AU257" s="1">
        <v>4012295</v>
      </c>
      <c r="AV257" s="1">
        <v>3608570</v>
      </c>
      <c r="AW257" s="1">
        <v>6703144</v>
      </c>
      <c r="AX257" s="1">
        <v>1177717</v>
      </c>
      <c r="AY257" s="1">
        <v>5228277</v>
      </c>
      <c r="AZ257" s="1">
        <v>3566393</v>
      </c>
      <c r="BA257" s="1">
        <v>3738223</v>
      </c>
      <c r="BB257" s="1">
        <v>2632134</v>
      </c>
      <c r="BC257" s="1">
        <v>2336733</v>
      </c>
      <c r="BD257" s="1">
        <v>2352896</v>
      </c>
      <c r="BE257" s="1">
        <v>2872076</v>
      </c>
      <c r="BF257" s="1">
        <v>3000421</v>
      </c>
      <c r="BG257" s="1">
        <v>6361823</v>
      </c>
      <c r="BH257" s="1">
        <v>6156914</v>
      </c>
      <c r="BI257" s="1">
        <v>4862856</v>
      </c>
      <c r="BJ257" s="1">
        <v>6189316</v>
      </c>
      <c r="BK257" s="1">
        <v>5164799</v>
      </c>
      <c r="BL257" s="1">
        <v>3612113</v>
      </c>
      <c r="BM257" s="1">
        <v>3968567</v>
      </c>
      <c r="BN257" s="1">
        <v>3009679</v>
      </c>
      <c r="BO257" s="1">
        <v>3898405</v>
      </c>
      <c r="BP257" s="1">
        <v>1783530</v>
      </c>
      <c r="BQ257" s="1">
        <v>1896983</v>
      </c>
      <c r="BR257" s="1">
        <v>1365807</v>
      </c>
      <c r="BS257" s="1">
        <v>3472089</v>
      </c>
      <c r="BT257" s="1">
        <v>4545634</v>
      </c>
      <c r="BU257" s="1">
        <v>3413200</v>
      </c>
      <c r="BV257" s="1">
        <v>4147010</v>
      </c>
      <c r="BW257" s="1">
        <v>4999921</v>
      </c>
      <c r="BX257" s="1">
        <v>2888343</v>
      </c>
      <c r="BY257" s="1">
        <v>3103076</v>
      </c>
      <c r="BZ257" s="1">
        <v>2740781</v>
      </c>
      <c r="CA257" s="1">
        <v>3343552</v>
      </c>
      <c r="CB257" s="1">
        <v>2664593</v>
      </c>
      <c r="CC257" s="1">
        <v>2723789</v>
      </c>
      <c r="CD257" s="1">
        <v>1864079</v>
      </c>
      <c r="CE257" s="1">
        <v>5272056</v>
      </c>
      <c r="CF257" s="1">
        <v>2118202</v>
      </c>
      <c r="CG257" s="1">
        <v>5008203</v>
      </c>
      <c r="CH257" s="1">
        <v>1325319</v>
      </c>
      <c r="CI257" s="1">
        <v>5074927</v>
      </c>
      <c r="CJ257" s="1">
        <v>2976309</v>
      </c>
      <c r="CK257" s="1">
        <v>2242452</v>
      </c>
      <c r="CL257" s="1">
        <v>2701470</v>
      </c>
      <c r="CM257" s="1">
        <v>3318915</v>
      </c>
      <c r="CN257" s="1">
        <v>3167347</v>
      </c>
      <c r="CO257" s="1">
        <v>1855086</v>
      </c>
      <c r="CP257" s="1">
        <v>2935029</v>
      </c>
      <c r="CQ257" s="1">
        <v>2852210</v>
      </c>
      <c r="CR257" s="1">
        <v>3057922</v>
      </c>
      <c r="CS257" s="1">
        <v>5940363</v>
      </c>
      <c r="CT257" s="1">
        <v>4628029</v>
      </c>
      <c r="CU257" s="1">
        <v>3428425</v>
      </c>
      <c r="CV257" s="1">
        <v>3941692</v>
      </c>
      <c r="CW257" s="1">
        <v>2843476</v>
      </c>
      <c r="CX257" s="1">
        <v>3831718</v>
      </c>
      <c r="CY257" s="1">
        <v>2326410</v>
      </c>
      <c r="CZ257" s="1">
        <v>2682878</v>
      </c>
      <c r="DA257" s="1">
        <v>2977735</v>
      </c>
      <c r="DB257" s="1">
        <v>1433445</v>
      </c>
      <c r="DC257" s="1">
        <v>0</v>
      </c>
      <c r="DD257" s="1">
        <v>0</v>
      </c>
      <c r="DE257" s="1">
        <v>0</v>
      </c>
      <c r="DF257" s="1">
        <v>0</v>
      </c>
      <c r="DH257" s="6">
        <f t="shared" si="87"/>
        <v>273500208</v>
      </c>
    </row>
    <row r="258" spans="1:112" ht="12" customHeight="1" x14ac:dyDescent="0.2">
      <c r="A258" s="5" t="s">
        <v>34</v>
      </c>
      <c r="B258" s="5" t="s">
        <v>44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512739</v>
      </c>
      <c r="X258" s="1">
        <v>442686</v>
      </c>
      <c r="Y258" s="1">
        <v>484164</v>
      </c>
      <c r="Z258" s="1">
        <v>613522</v>
      </c>
      <c r="AA258" s="1">
        <v>772836</v>
      </c>
      <c r="AB258" s="1">
        <v>407050</v>
      </c>
      <c r="AC258" s="1">
        <v>215802</v>
      </c>
      <c r="AD258" s="1">
        <v>28202</v>
      </c>
      <c r="AE258" s="1">
        <v>162408</v>
      </c>
      <c r="AF258" s="1">
        <v>169261</v>
      </c>
      <c r="AG258" s="1">
        <v>407471</v>
      </c>
      <c r="AH258" s="1">
        <v>490601</v>
      </c>
      <c r="AI258" s="1">
        <v>855910</v>
      </c>
      <c r="AJ258" s="1">
        <v>1987176</v>
      </c>
      <c r="AK258" s="1">
        <v>2605045</v>
      </c>
      <c r="AL258" s="1">
        <v>2231387</v>
      </c>
      <c r="AM258" s="1">
        <v>2144280</v>
      </c>
      <c r="AN258" s="1">
        <v>975735</v>
      </c>
      <c r="AO258" s="1">
        <v>1870680</v>
      </c>
      <c r="AP258" s="1">
        <v>1692465</v>
      </c>
      <c r="AQ258" s="1">
        <v>1350783</v>
      </c>
      <c r="AR258" s="1">
        <v>1712062</v>
      </c>
      <c r="AS258" s="1">
        <v>1712120</v>
      </c>
      <c r="AT258" s="1">
        <v>723453</v>
      </c>
      <c r="AU258" s="1">
        <v>2071456</v>
      </c>
      <c r="AV258" s="1">
        <v>1567512</v>
      </c>
      <c r="AW258" s="1">
        <v>3229235</v>
      </c>
      <c r="AX258" s="1">
        <v>1228155</v>
      </c>
      <c r="AY258" s="1">
        <v>2900062</v>
      </c>
      <c r="AZ258" s="1">
        <v>1937514</v>
      </c>
      <c r="BA258" s="1">
        <v>1826973</v>
      </c>
      <c r="BB258" s="1">
        <v>1281691</v>
      </c>
      <c r="BC258" s="1">
        <v>1875674</v>
      </c>
      <c r="BD258" s="1">
        <v>1733553</v>
      </c>
      <c r="BE258" s="1">
        <v>1726797</v>
      </c>
      <c r="BF258" s="1">
        <v>1629783</v>
      </c>
      <c r="BG258" s="1">
        <v>3647376</v>
      </c>
      <c r="BH258" s="1">
        <v>3634326</v>
      </c>
      <c r="BI258" s="1">
        <v>2453931</v>
      </c>
      <c r="BJ258" s="1">
        <v>4182084</v>
      </c>
      <c r="BK258" s="1">
        <v>3999580</v>
      </c>
      <c r="BL258" s="1">
        <v>2000796</v>
      </c>
      <c r="BM258" s="1">
        <v>2999098</v>
      </c>
      <c r="BN258" s="1">
        <v>2240716</v>
      </c>
      <c r="BO258" s="1">
        <v>2707187</v>
      </c>
      <c r="BP258" s="1">
        <v>1490133</v>
      </c>
      <c r="BQ258" s="1">
        <v>1411505</v>
      </c>
      <c r="BR258" s="1">
        <v>1221708</v>
      </c>
      <c r="BS258" s="1">
        <v>2808551</v>
      </c>
      <c r="BT258" s="1">
        <v>3710358</v>
      </c>
      <c r="BU258" s="1">
        <v>2576027</v>
      </c>
      <c r="BV258" s="1">
        <v>3555735</v>
      </c>
      <c r="BW258" s="1">
        <v>3751831</v>
      </c>
      <c r="BX258" s="1">
        <v>2394323</v>
      </c>
      <c r="BY258" s="1">
        <v>2498983</v>
      </c>
      <c r="BZ258" s="1">
        <v>2569123</v>
      </c>
      <c r="CA258" s="1">
        <v>2773827</v>
      </c>
      <c r="CB258" s="1">
        <v>2535266</v>
      </c>
      <c r="CC258" s="1">
        <v>2320394</v>
      </c>
      <c r="CD258" s="1">
        <v>1710261</v>
      </c>
      <c r="CE258" s="1">
        <v>4258599</v>
      </c>
      <c r="CF258" s="1">
        <v>2225739</v>
      </c>
      <c r="CG258" s="1">
        <v>4478489</v>
      </c>
      <c r="CH258" s="1">
        <v>1266177</v>
      </c>
      <c r="CI258" s="1">
        <v>4284050</v>
      </c>
      <c r="CJ258" s="1">
        <v>2769358</v>
      </c>
      <c r="CK258" s="1">
        <v>1826066</v>
      </c>
      <c r="CL258" s="1">
        <v>2624672</v>
      </c>
      <c r="CM258" s="1">
        <v>2796031</v>
      </c>
      <c r="CN258" s="1">
        <v>2926690</v>
      </c>
      <c r="CO258" s="1">
        <v>1480027</v>
      </c>
      <c r="CP258" s="1">
        <v>2456577</v>
      </c>
      <c r="CQ258" s="1">
        <v>2302914</v>
      </c>
      <c r="CR258" s="1">
        <v>2632766</v>
      </c>
      <c r="CS258" s="1">
        <v>4903438</v>
      </c>
      <c r="CT258" s="1">
        <v>4064128</v>
      </c>
      <c r="CU258" s="1">
        <v>2996138</v>
      </c>
      <c r="CV258" s="1">
        <v>3133864</v>
      </c>
      <c r="CW258" s="1">
        <v>2771171</v>
      </c>
      <c r="CX258" s="1">
        <v>3397073</v>
      </c>
      <c r="CY258" s="1">
        <v>2141935</v>
      </c>
      <c r="CZ258" s="1">
        <v>2259054</v>
      </c>
      <c r="DA258" s="1">
        <v>2654411</v>
      </c>
      <c r="DB258" s="1">
        <v>1306656</v>
      </c>
      <c r="DC258" s="1">
        <v>0</v>
      </c>
      <c r="DD258" s="1">
        <v>0</v>
      </c>
      <c r="DE258" s="1">
        <v>0</v>
      </c>
      <c r="DF258" s="1">
        <v>0</v>
      </c>
      <c r="DH258" s="6">
        <f t="shared" ref="DH258:DH316" si="115">SUM(C258:DF258)</f>
        <v>180725385</v>
      </c>
    </row>
    <row r="259" spans="1:112" x14ac:dyDescent="0.2">
      <c r="A259" s="5" t="s">
        <v>34</v>
      </c>
      <c r="B259" s="5" t="s">
        <v>45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>
        <f t="shared" ref="M259:BO259" si="116">M257-M258</f>
        <v>72997</v>
      </c>
      <c r="N259" s="1">
        <f t="shared" si="116"/>
        <v>957913</v>
      </c>
      <c r="O259" s="1">
        <f t="shared" si="116"/>
        <v>159978</v>
      </c>
      <c r="P259" s="1">
        <f t="shared" si="116"/>
        <v>-890623</v>
      </c>
      <c r="Q259" s="1">
        <f t="shared" si="116"/>
        <v>1548230</v>
      </c>
      <c r="R259" s="1">
        <f t="shared" si="116"/>
        <v>1970110</v>
      </c>
      <c r="S259" s="1">
        <f t="shared" si="116"/>
        <v>899165</v>
      </c>
      <c r="T259" s="1">
        <f t="shared" si="116"/>
        <v>2149999</v>
      </c>
      <c r="U259" s="1">
        <f t="shared" si="116"/>
        <v>827579</v>
      </c>
      <c r="V259" s="1">
        <f t="shared" si="116"/>
        <v>851788</v>
      </c>
      <c r="W259" s="1">
        <f t="shared" si="116"/>
        <v>2003321</v>
      </c>
      <c r="X259" s="1">
        <f t="shared" si="116"/>
        <v>2014451</v>
      </c>
      <c r="Y259" s="1">
        <f t="shared" si="116"/>
        <v>2261353</v>
      </c>
      <c r="Z259" s="1">
        <f t="shared" si="116"/>
        <v>1958233</v>
      </c>
      <c r="AA259" s="1">
        <f t="shared" si="116"/>
        <v>2506405</v>
      </c>
      <c r="AB259" s="1">
        <f t="shared" si="116"/>
        <v>1916382</v>
      </c>
      <c r="AC259" s="1">
        <f t="shared" si="116"/>
        <v>625965</v>
      </c>
      <c r="AD259" s="1">
        <f t="shared" si="116"/>
        <v>-821</v>
      </c>
      <c r="AE259" s="1">
        <f t="shared" si="116"/>
        <v>1064</v>
      </c>
      <c r="AF259" s="1">
        <f t="shared" si="116"/>
        <v>-67933</v>
      </c>
      <c r="AG259" s="1">
        <f t="shared" si="116"/>
        <v>-56046</v>
      </c>
      <c r="AH259" s="1">
        <f t="shared" si="116"/>
        <v>932790</v>
      </c>
      <c r="AI259" s="1">
        <f t="shared" si="116"/>
        <v>1496878</v>
      </c>
      <c r="AJ259" s="1">
        <f t="shared" si="116"/>
        <v>2401665</v>
      </c>
      <c r="AK259" s="1">
        <f t="shared" si="116"/>
        <v>3676276</v>
      </c>
      <c r="AL259" s="1">
        <f t="shared" si="116"/>
        <v>301703</v>
      </c>
      <c r="AM259" s="1">
        <f t="shared" si="116"/>
        <v>1572920</v>
      </c>
      <c r="AN259" s="1">
        <f t="shared" si="116"/>
        <v>580089</v>
      </c>
      <c r="AO259" s="1">
        <f t="shared" si="116"/>
        <v>2105460</v>
      </c>
      <c r="AP259" s="1">
        <f t="shared" si="116"/>
        <v>1476067</v>
      </c>
      <c r="AQ259" s="1">
        <f t="shared" si="116"/>
        <v>1422127</v>
      </c>
      <c r="AR259" s="1">
        <f t="shared" si="116"/>
        <v>1953967</v>
      </c>
      <c r="AS259" s="1">
        <f t="shared" si="116"/>
        <v>1551156</v>
      </c>
      <c r="AT259" s="1">
        <f t="shared" si="116"/>
        <v>406406</v>
      </c>
      <c r="AU259" s="1">
        <f t="shared" si="116"/>
        <v>1940839</v>
      </c>
      <c r="AV259" s="1">
        <f t="shared" si="116"/>
        <v>2041058</v>
      </c>
      <c r="AW259" s="1">
        <f t="shared" si="116"/>
        <v>3473909</v>
      </c>
      <c r="AX259" s="1">
        <f t="shared" si="116"/>
        <v>-50438</v>
      </c>
      <c r="AY259" s="1">
        <f t="shared" si="116"/>
        <v>2328215</v>
      </c>
      <c r="AZ259" s="1">
        <f t="shared" si="116"/>
        <v>1628879</v>
      </c>
      <c r="BA259" s="1">
        <f t="shared" si="116"/>
        <v>1911250</v>
      </c>
      <c r="BB259" s="1">
        <f t="shared" si="116"/>
        <v>1350443</v>
      </c>
      <c r="BC259" s="1">
        <f t="shared" si="116"/>
        <v>461059</v>
      </c>
      <c r="BD259" s="1">
        <f t="shared" si="116"/>
        <v>619343</v>
      </c>
      <c r="BE259" s="1">
        <f t="shared" si="116"/>
        <v>1145279</v>
      </c>
      <c r="BF259" s="1">
        <f t="shared" si="116"/>
        <v>1370638</v>
      </c>
      <c r="BG259" s="1">
        <f t="shared" si="116"/>
        <v>2714447</v>
      </c>
      <c r="BH259" s="1">
        <f t="shared" si="116"/>
        <v>2522588</v>
      </c>
      <c r="BI259" s="1">
        <f t="shared" si="116"/>
        <v>2408925</v>
      </c>
      <c r="BJ259" s="1">
        <f t="shared" si="116"/>
        <v>2007232</v>
      </c>
      <c r="BK259" s="1">
        <f t="shared" si="116"/>
        <v>1165219</v>
      </c>
      <c r="BL259" s="1">
        <f t="shared" si="116"/>
        <v>1611317</v>
      </c>
      <c r="BM259" s="1">
        <f t="shared" si="116"/>
        <v>969469</v>
      </c>
      <c r="BN259" s="1">
        <f t="shared" si="116"/>
        <v>768963</v>
      </c>
      <c r="BO259" s="1">
        <f t="shared" si="116"/>
        <v>1191218</v>
      </c>
      <c r="BP259" s="1">
        <f>BP257-BP258</f>
        <v>293397</v>
      </c>
      <c r="BQ259" s="1">
        <f t="shared" ref="BQ259:CC259" si="117">BQ257-BQ258</f>
        <v>485478</v>
      </c>
      <c r="BR259" s="1">
        <f t="shared" si="117"/>
        <v>144099</v>
      </c>
      <c r="BS259" s="1">
        <f t="shared" si="117"/>
        <v>663538</v>
      </c>
      <c r="BT259" s="1">
        <f t="shared" si="117"/>
        <v>835276</v>
      </c>
      <c r="BU259" s="1">
        <f t="shared" si="117"/>
        <v>837173</v>
      </c>
      <c r="BV259" s="1">
        <f t="shared" si="117"/>
        <v>591275</v>
      </c>
      <c r="BW259" s="1">
        <f t="shared" si="117"/>
        <v>1248090</v>
      </c>
      <c r="BX259" s="1">
        <f t="shared" si="117"/>
        <v>494020</v>
      </c>
      <c r="BY259" s="1">
        <f t="shared" si="117"/>
        <v>604093</v>
      </c>
      <c r="BZ259" s="1">
        <f t="shared" si="117"/>
        <v>171658</v>
      </c>
      <c r="CA259" s="1">
        <f t="shared" si="117"/>
        <v>569725</v>
      </c>
      <c r="CB259" s="1">
        <f t="shared" si="117"/>
        <v>129327</v>
      </c>
      <c r="CC259" s="1">
        <f t="shared" si="117"/>
        <v>403395</v>
      </c>
      <c r="CD259" s="1">
        <f>CD257-CD258</f>
        <v>153818</v>
      </c>
      <c r="CE259" s="1">
        <f>CE257-CE258</f>
        <v>1013457</v>
      </c>
      <c r="CF259" s="1">
        <f>CF257-CF258</f>
        <v>-107537</v>
      </c>
      <c r="CG259" s="1">
        <f>CG257-CG258</f>
        <v>529714</v>
      </c>
      <c r="CH259" s="1">
        <f>CH257-CH258</f>
        <v>59142</v>
      </c>
      <c r="CI259" s="1">
        <f t="shared" ref="CI259:DF259" si="118">CI257-CI258</f>
        <v>790877</v>
      </c>
      <c r="CJ259" s="1">
        <f t="shared" si="118"/>
        <v>206951</v>
      </c>
      <c r="CK259" s="1">
        <f t="shared" si="118"/>
        <v>416386</v>
      </c>
      <c r="CL259" s="1">
        <f t="shared" si="118"/>
        <v>76798</v>
      </c>
      <c r="CM259" s="1">
        <f t="shared" si="118"/>
        <v>522884</v>
      </c>
      <c r="CN259" s="1">
        <f t="shared" si="118"/>
        <v>240657</v>
      </c>
      <c r="CO259" s="1">
        <f t="shared" si="118"/>
        <v>375059</v>
      </c>
      <c r="CP259" s="1">
        <f t="shared" si="118"/>
        <v>478452</v>
      </c>
      <c r="CQ259" s="1">
        <f t="shared" si="118"/>
        <v>549296</v>
      </c>
      <c r="CR259" s="1">
        <f t="shared" si="118"/>
        <v>425156</v>
      </c>
      <c r="CS259" s="1">
        <f t="shared" si="118"/>
        <v>1036925</v>
      </c>
      <c r="CT259" s="1">
        <f t="shared" si="118"/>
        <v>563901</v>
      </c>
      <c r="CU259" s="1">
        <f t="shared" si="118"/>
        <v>432287</v>
      </c>
      <c r="CV259" s="1">
        <f t="shared" si="118"/>
        <v>807828</v>
      </c>
      <c r="CW259" s="1">
        <f t="shared" si="118"/>
        <v>72305</v>
      </c>
      <c r="CX259" s="1">
        <f t="shared" si="118"/>
        <v>434645</v>
      </c>
      <c r="CY259" s="1">
        <f t="shared" si="118"/>
        <v>184475</v>
      </c>
      <c r="CZ259" s="1">
        <f t="shared" si="118"/>
        <v>423824</v>
      </c>
      <c r="DA259" s="1">
        <f t="shared" si="118"/>
        <v>323324</v>
      </c>
      <c r="DB259" s="1">
        <f t="shared" si="118"/>
        <v>126789</v>
      </c>
      <c r="DC259" s="1">
        <f t="shared" si="118"/>
        <v>0</v>
      </c>
      <c r="DD259" s="1">
        <f t="shared" si="118"/>
        <v>0</v>
      </c>
      <c r="DE259" s="1">
        <f t="shared" si="118"/>
        <v>0</v>
      </c>
      <c r="DF259" s="1">
        <f t="shared" si="118"/>
        <v>0</v>
      </c>
      <c r="DH259" s="6">
        <f t="shared" si="115"/>
        <v>92774823</v>
      </c>
    </row>
    <row r="260" spans="1:112" x14ac:dyDescent="0.2">
      <c r="A260" s="5" t="s">
        <v>34</v>
      </c>
      <c r="B260" s="5" t="s">
        <v>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>
        <v>72997</v>
      </c>
      <c r="N260" s="1">
        <v>957913</v>
      </c>
      <c r="O260" s="1">
        <v>159978</v>
      </c>
      <c r="P260" s="1">
        <v>-890623</v>
      </c>
      <c r="Q260" s="1">
        <v>1548230</v>
      </c>
      <c r="R260" s="1">
        <v>1970110</v>
      </c>
      <c r="S260" s="1">
        <v>899165</v>
      </c>
      <c r="T260" s="1">
        <v>2149999</v>
      </c>
      <c r="U260" s="1">
        <v>827579</v>
      </c>
      <c r="V260" s="1">
        <v>851788</v>
      </c>
      <c r="W260" s="1">
        <v>2516060</v>
      </c>
      <c r="X260" s="1">
        <v>2457137</v>
      </c>
      <c r="Y260" s="1">
        <v>2745517</v>
      </c>
      <c r="Z260" s="1">
        <v>2571755</v>
      </c>
      <c r="AA260" s="1">
        <v>3279241</v>
      </c>
      <c r="AB260" s="1">
        <v>2323432</v>
      </c>
      <c r="AC260" s="1">
        <v>841767</v>
      </c>
      <c r="AD260" s="1">
        <v>27381</v>
      </c>
      <c r="AE260" s="1">
        <v>163472</v>
      </c>
      <c r="AF260" s="1">
        <v>101328</v>
      </c>
      <c r="AG260" s="1">
        <v>351425</v>
      </c>
      <c r="AH260" s="1">
        <v>1423391</v>
      </c>
      <c r="AI260" s="1">
        <v>2352788</v>
      </c>
      <c r="AJ260" s="1">
        <v>4388841</v>
      </c>
      <c r="AK260" s="1">
        <v>6281321</v>
      </c>
      <c r="AL260" s="1">
        <v>2533090</v>
      </c>
      <c r="AM260" s="1">
        <v>3717200</v>
      </c>
      <c r="AN260" s="1">
        <v>1555824</v>
      </c>
      <c r="AO260" s="1">
        <v>3976140</v>
      </c>
      <c r="AP260" s="1">
        <v>3168532</v>
      </c>
      <c r="AQ260" s="1">
        <v>2772910</v>
      </c>
      <c r="AR260" s="1">
        <v>3666029</v>
      </c>
      <c r="AS260" s="1">
        <v>3263276</v>
      </c>
      <c r="AT260" s="1">
        <v>1129859</v>
      </c>
      <c r="AU260" s="1">
        <v>4012295</v>
      </c>
      <c r="AV260" s="1">
        <v>3608570</v>
      </c>
      <c r="AW260" s="1">
        <v>6703144</v>
      </c>
      <c r="AX260" s="1">
        <v>1177717</v>
      </c>
      <c r="AY260" s="1">
        <v>5228277</v>
      </c>
      <c r="AZ260" s="1">
        <v>3566393</v>
      </c>
      <c r="BA260" s="1">
        <v>3738223</v>
      </c>
      <c r="BB260" s="1">
        <v>2632134</v>
      </c>
      <c r="BC260" s="1">
        <v>2336733</v>
      </c>
      <c r="BD260" s="1">
        <v>2352896</v>
      </c>
      <c r="BE260" s="1">
        <v>2872076</v>
      </c>
      <c r="BF260" s="1">
        <v>3000421</v>
      </c>
      <c r="BG260" s="1">
        <v>6361823</v>
      </c>
      <c r="BH260" s="1">
        <v>6156914</v>
      </c>
      <c r="BI260" s="1">
        <v>4862856</v>
      </c>
      <c r="BJ260" s="1">
        <v>6189316</v>
      </c>
      <c r="BK260" s="1">
        <v>5164799</v>
      </c>
      <c r="BL260" s="1">
        <v>3612113</v>
      </c>
      <c r="BM260" s="1">
        <v>3968567</v>
      </c>
      <c r="BN260" s="1">
        <v>3009679</v>
      </c>
      <c r="BO260" s="1">
        <v>3898405</v>
      </c>
      <c r="BP260" s="1">
        <v>1783530</v>
      </c>
      <c r="BQ260" s="1">
        <v>1896983</v>
      </c>
      <c r="BR260" s="1">
        <v>1365807</v>
      </c>
      <c r="BS260" s="1">
        <v>3472089</v>
      </c>
      <c r="BT260" s="1">
        <v>4545634</v>
      </c>
      <c r="BU260" s="1">
        <v>3413200</v>
      </c>
      <c r="BV260" s="1">
        <v>4147010</v>
      </c>
      <c r="BW260" s="1">
        <v>4999921</v>
      </c>
      <c r="BX260" s="1">
        <v>2888343</v>
      </c>
      <c r="BY260" s="1">
        <v>3103076</v>
      </c>
      <c r="BZ260" s="1">
        <v>2740781</v>
      </c>
      <c r="CA260" s="1">
        <v>3343552</v>
      </c>
      <c r="CB260" s="1">
        <v>2664593</v>
      </c>
      <c r="CC260" s="1">
        <v>2723789</v>
      </c>
      <c r="CD260" s="1">
        <v>1864079</v>
      </c>
      <c r="CE260" s="1">
        <v>5272056</v>
      </c>
      <c r="CF260" s="1">
        <v>2118202</v>
      </c>
      <c r="CG260" s="1">
        <v>5008203</v>
      </c>
      <c r="CH260" s="1">
        <v>1325319</v>
      </c>
      <c r="CI260" s="1">
        <v>5074927</v>
      </c>
      <c r="CJ260" s="1">
        <v>2976309</v>
      </c>
      <c r="CK260" s="1">
        <v>2242452</v>
      </c>
      <c r="CL260" s="1">
        <v>2701470</v>
      </c>
      <c r="CM260" s="1">
        <v>3318915</v>
      </c>
      <c r="CN260" s="1">
        <v>3167347</v>
      </c>
      <c r="CO260" s="1">
        <v>1855086</v>
      </c>
      <c r="CP260" s="1">
        <v>2935029</v>
      </c>
      <c r="CQ260" s="1">
        <v>2852210</v>
      </c>
      <c r="CR260" s="1">
        <v>3057922</v>
      </c>
      <c r="CS260" s="1">
        <v>5940363</v>
      </c>
      <c r="CT260" s="1">
        <v>4628029</v>
      </c>
      <c r="CU260" s="1">
        <v>3428425</v>
      </c>
      <c r="CV260" s="1">
        <v>3941692</v>
      </c>
      <c r="CW260" s="1">
        <v>2843476</v>
      </c>
      <c r="CX260" s="1">
        <v>3831718</v>
      </c>
      <c r="CY260" s="1">
        <v>2326410</v>
      </c>
      <c r="CZ260" s="1">
        <v>2682878</v>
      </c>
      <c r="DA260" s="1">
        <v>2977735</v>
      </c>
      <c r="DB260" s="1">
        <v>1433445</v>
      </c>
      <c r="DC260" s="1">
        <v>0</v>
      </c>
      <c r="DD260" s="1">
        <v>0</v>
      </c>
      <c r="DE260" s="1">
        <v>0</v>
      </c>
      <c r="DF260" s="1">
        <v>0</v>
      </c>
      <c r="DH260" s="6">
        <f t="shared" si="115"/>
        <v>273500208</v>
      </c>
    </row>
    <row r="261" spans="1:112" x14ac:dyDescent="0.2">
      <c r="A261" s="5" t="s">
        <v>34</v>
      </c>
      <c r="B261" s="5" t="s">
        <v>7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>
        <v>36505.799699999996</v>
      </c>
      <c r="N261" s="1">
        <v>479052.29129999998</v>
      </c>
      <c r="O261" s="1">
        <v>80004.997799999997</v>
      </c>
      <c r="P261" s="1">
        <v>-445400.56229999999</v>
      </c>
      <c r="Q261" s="1">
        <v>774269.82299999997</v>
      </c>
      <c r="R261" s="1">
        <v>985252.01099999994</v>
      </c>
      <c r="S261" s="1">
        <v>449672.41649999999</v>
      </c>
      <c r="T261" s="1">
        <v>1075214.4998999999</v>
      </c>
      <c r="U261" s="1">
        <v>413872.25789999997</v>
      </c>
      <c r="V261" s="1">
        <v>425979.17879999999</v>
      </c>
      <c r="W261" s="1">
        <v>1258281.6059999999</v>
      </c>
      <c r="X261" s="1">
        <v>1228814.2137</v>
      </c>
      <c r="Y261" s="1">
        <v>1373033.0517</v>
      </c>
      <c r="Z261" s="1">
        <v>1286134.6754999999</v>
      </c>
      <c r="AA261" s="1">
        <v>1639948.4240999999</v>
      </c>
      <c r="AB261" s="1">
        <v>1161948.3432</v>
      </c>
      <c r="AC261" s="1">
        <v>420967.67670000001</v>
      </c>
      <c r="AD261" s="1">
        <v>13693.2381</v>
      </c>
      <c r="AE261" s="1">
        <v>81752.347200000004</v>
      </c>
      <c r="AF261" s="1">
        <v>50674.132799999999</v>
      </c>
      <c r="AG261" s="1">
        <v>175747.64249999999</v>
      </c>
      <c r="AH261" s="1">
        <v>711837.83909999998</v>
      </c>
      <c r="AI261" s="1">
        <v>1176629.2788</v>
      </c>
      <c r="AJ261" s="1">
        <v>2194859.3840999999</v>
      </c>
      <c r="AK261" s="1">
        <v>3141288.6321</v>
      </c>
      <c r="AL261" s="1">
        <v>1266798.3089999999</v>
      </c>
      <c r="AM261" s="1">
        <v>1858971.72</v>
      </c>
      <c r="AN261" s="1">
        <v>778067.58239999996</v>
      </c>
      <c r="AO261" s="1">
        <v>1988467.6140000001</v>
      </c>
      <c r="AP261" s="1">
        <v>1584582.8532</v>
      </c>
      <c r="AQ261" s="1">
        <v>1386732.291</v>
      </c>
      <c r="AR261" s="1">
        <v>1833381.1029000001</v>
      </c>
      <c r="AS261" s="1">
        <v>1631964.3276</v>
      </c>
      <c r="AT261" s="1">
        <v>565042.48589999997</v>
      </c>
      <c r="AU261" s="1">
        <v>2006548.7294999999</v>
      </c>
      <c r="AV261" s="1">
        <v>1804645.8570000001</v>
      </c>
      <c r="AW261" s="1">
        <v>3352242.3144</v>
      </c>
      <c r="AX261" s="1">
        <v>588976.27170000004</v>
      </c>
      <c r="AY261" s="1">
        <v>2614661.3276999998</v>
      </c>
      <c r="AZ261" s="1">
        <v>1783553.1392999999</v>
      </c>
      <c r="BA261" s="1">
        <v>1869485.3222999999</v>
      </c>
      <c r="BB261" s="1">
        <v>1316330.2134</v>
      </c>
      <c r="BC261" s="1">
        <v>1168600.1732999999</v>
      </c>
      <c r="BD261" s="1">
        <v>1176683.2896</v>
      </c>
      <c r="BE261" s="1">
        <v>1436325.2076000001</v>
      </c>
      <c r="BF261" s="1">
        <v>1500510.5421</v>
      </c>
      <c r="BG261" s="1">
        <v>3181547.6823</v>
      </c>
      <c r="BH261" s="1">
        <v>3079072.6913999999</v>
      </c>
      <c r="BI261" s="1">
        <v>2431914.2856000001</v>
      </c>
      <c r="BJ261" s="1">
        <v>3095276.9315999998</v>
      </c>
      <c r="BK261" s="1">
        <v>2582915.9799000002</v>
      </c>
      <c r="BL261" s="1">
        <v>1806417.7112999998</v>
      </c>
      <c r="BM261" s="1">
        <v>1984680.3566999999</v>
      </c>
      <c r="BN261" s="1">
        <v>1505140.4679</v>
      </c>
      <c r="BO261" s="1">
        <v>1949592.3404999999</v>
      </c>
      <c r="BP261" s="1">
        <v>891943.353</v>
      </c>
      <c r="BQ261" s="1">
        <v>948681.19829999993</v>
      </c>
      <c r="BR261" s="1">
        <v>683040.08069999993</v>
      </c>
      <c r="BS261" s="1">
        <v>1736391.7089</v>
      </c>
      <c r="BT261" s="1">
        <v>2273271.5633999999</v>
      </c>
      <c r="BU261" s="1">
        <v>1706941.32</v>
      </c>
      <c r="BV261" s="1">
        <v>2073919.7009999999</v>
      </c>
      <c r="BW261" s="1">
        <v>2500460.4920999999</v>
      </c>
      <c r="BX261" s="1">
        <v>1444460.3343</v>
      </c>
      <c r="BY261" s="1">
        <v>1551848.3075999999</v>
      </c>
      <c r="BZ261" s="1">
        <v>1370664.5781</v>
      </c>
      <c r="CA261" s="1">
        <v>1672110.3551999999</v>
      </c>
      <c r="CB261" s="1">
        <v>1332562.9593</v>
      </c>
      <c r="CC261" s="1">
        <v>1362166.8788999999</v>
      </c>
      <c r="CD261" s="1">
        <v>932225.90789999999</v>
      </c>
      <c r="CE261" s="1">
        <v>2636555.2056</v>
      </c>
      <c r="CF261" s="1">
        <v>1059312.8202</v>
      </c>
      <c r="CG261" s="1">
        <v>2504602.3202999998</v>
      </c>
      <c r="CH261" s="1">
        <v>662792.03189999994</v>
      </c>
      <c r="CI261" s="1">
        <v>2537970.9926999998</v>
      </c>
      <c r="CJ261" s="1">
        <v>1488452.1309</v>
      </c>
      <c r="CK261" s="1">
        <v>1121450.2452</v>
      </c>
      <c r="CL261" s="1">
        <v>1351005.1469999999</v>
      </c>
      <c r="CM261" s="1">
        <v>1659789.3914999999</v>
      </c>
      <c r="CN261" s="1">
        <v>1583990.2346999999</v>
      </c>
      <c r="CO261" s="1">
        <v>927728.50859999994</v>
      </c>
      <c r="CP261" s="1">
        <v>1467808.0029</v>
      </c>
      <c r="CQ261" s="1">
        <v>1426390.2209999999</v>
      </c>
      <c r="CR261" s="1">
        <v>1529266.7922</v>
      </c>
      <c r="CS261" s="1">
        <v>2970775.5362999998</v>
      </c>
      <c r="CT261" s="1">
        <v>2314477.3029</v>
      </c>
      <c r="CU261" s="1">
        <v>1714555.3425</v>
      </c>
      <c r="CV261" s="1">
        <v>1971240.1691999999</v>
      </c>
      <c r="CW261" s="1">
        <v>1422022.3476</v>
      </c>
      <c r="CX261" s="1">
        <v>1916242.1717999999</v>
      </c>
      <c r="CY261" s="1">
        <v>1163437.6410000001</v>
      </c>
      <c r="CZ261" s="1">
        <v>1341707.2878</v>
      </c>
      <c r="DA261" s="1">
        <v>1489165.2734999999</v>
      </c>
      <c r="DB261" s="1">
        <v>716865.84450000001</v>
      </c>
      <c r="DC261" s="1">
        <v>0</v>
      </c>
      <c r="DD261" s="1">
        <v>0</v>
      </c>
      <c r="DE261" s="1">
        <v>0</v>
      </c>
      <c r="DF261" s="1">
        <v>0</v>
      </c>
      <c r="DH261" s="6">
        <f t="shared" si="115"/>
        <v>136777454.02079996</v>
      </c>
    </row>
    <row r="262" spans="1:112" x14ac:dyDescent="0.2">
      <c r="A262" s="5" t="str">
        <f>A261</f>
        <v>RI</v>
      </c>
      <c r="B262" s="5" t="s">
        <v>41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H262" s="6">
        <f t="shared" si="115"/>
        <v>0</v>
      </c>
    </row>
    <row r="263" spans="1:112" x14ac:dyDescent="0.2">
      <c r="A263" s="5" t="s">
        <v>35</v>
      </c>
      <c r="B263" s="5" t="s">
        <v>4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>
        <v>131444523</v>
      </c>
      <c r="AL263" s="1">
        <v>180900000</v>
      </c>
      <c r="AM263" s="1">
        <v>211300000</v>
      </c>
      <c r="AN263" s="1">
        <v>176300000</v>
      </c>
      <c r="AO263" s="1">
        <v>205900000</v>
      </c>
      <c r="AP263" s="1">
        <v>172400000</v>
      </c>
      <c r="AQ263" s="1">
        <v>160900000</v>
      </c>
      <c r="AR263" s="1">
        <v>174500000</v>
      </c>
      <c r="AS263" s="1">
        <v>144500000</v>
      </c>
      <c r="AT263" s="1">
        <v>144509000</v>
      </c>
      <c r="AU263" s="1">
        <v>257348000</v>
      </c>
      <c r="AV263" s="1">
        <v>375330000</v>
      </c>
      <c r="AW263" s="1">
        <v>365697000</v>
      </c>
      <c r="AX263" s="1">
        <v>341791900</v>
      </c>
      <c r="AY263" s="1">
        <v>386059756</v>
      </c>
      <c r="AZ263" s="1">
        <v>313298305</v>
      </c>
      <c r="BA263" s="1">
        <v>370230004</v>
      </c>
      <c r="BB263" s="1">
        <v>292796670</v>
      </c>
      <c r="BC263" s="1">
        <v>261582468</v>
      </c>
      <c r="BD263" s="1">
        <v>215774186</v>
      </c>
      <c r="BE263" s="1">
        <v>182769323</v>
      </c>
      <c r="BF263" s="1">
        <v>205863860</v>
      </c>
      <c r="BG263" s="1">
        <v>336933437</v>
      </c>
      <c r="BH263" s="1">
        <v>405337575</v>
      </c>
      <c r="BI263" s="1">
        <v>439456908</v>
      </c>
      <c r="BJ263" s="1">
        <v>440445414</v>
      </c>
      <c r="BK263" s="1">
        <v>410773606</v>
      </c>
      <c r="BL263" s="1">
        <v>327326201</v>
      </c>
      <c r="BM263" s="1">
        <v>392667304</v>
      </c>
      <c r="BN263" s="1">
        <v>318416216</v>
      </c>
      <c r="BO263" s="1">
        <v>279794996</v>
      </c>
      <c r="BP263" s="1">
        <v>230337515</v>
      </c>
      <c r="BQ263" s="1">
        <v>215489157</v>
      </c>
      <c r="BR263" s="1">
        <v>243456822</v>
      </c>
      <c r="BS263" s="1">
        <v>420006053</v>
      </c>
      <c r="BT263" s="1">
        <v>445192913</v>
      </c>
      <c r="BU263" s="1">
        <v>517141377</v>
      </c>
      <c r="BV263" s="1">
        <v>495067783</v>
      </c>
      <c r="BW263" s="1">
        <v>467403058</v>
      </c>
      <c r="BX263" s="1">
        <v>380390401</v>
      </c>
      <c r="BY263" s="1">
        <v>473595403</v>
      </c>
      <c r="BZ263" s="1">
        <v>384219719</v>
      </c>
      <c r="CA263" s="1">
        <v>381801113</v>
      </c>
      <c r="CB263" s="1">
        <v>344792936</v>
      </c>
      <c r="CC263" s="1">
        <v>273927581</v>
      </c>
      <c r="CD263" s="1">
        <v>344396828</v>
      </c>
      <c r="CE263" s="1">
        <v>524733295</v>
      </c>
      <c r="CF263" s="1">
        <v>551170451</v>
      </c>
      <c r="CG263" s="1">
        <v>598564013</v>
      </c>
      <c r="CH263" s="1">
        <v>572715244</v>
      </c>
      <c r="CI263" s="1">
        <v>548973451</v>
      </c>
      <c r="CJ263" s="1">
        <v>417400387</v>
      </c>
      <c r="CK263" s="1">
        <v>551767409</v>
      </c>
      <c r="CL263" s="1">
        <v>466538112</v>
      </c>
      <c r="CM263" s="1">
        <v>440636125</v>
      </c>
      <c r="CN263" s="1">
        <v>352491479</v>
      </c>
      <c r="CO263" s="1">
        <v>305140756</v>
      </c>
      <c r="CP263" s="1">
        <v>375882441</v>
      </c>
      <c r="CQ263" s="1">
        <v>565341250</v>
      </c>
      <c r="CR263" s="1">
        <v>658038191</v>
      </c>
      <c r="CS263" s="1">
        <v>647598361</v>
      </c>
      <c r="CT263" s="1">
        <v>540424861</v>
      </c>
      <c r="CU263" s="1">
        <v>538002852</v>
      </c>
      <c r="CV263" s="1">
        <v>462349706</v>
      </c>
      <c r="CW263" s="1">
        <v>562591437</v>
      </c>
      <c r="CX263" s="1">
        <v>484562888</v>
      </c>
      <c r="CY263" s="1">
        <v>446235071</v>
      </c>
      <c r="CZ263" s="1">
        <v>538002852</v>
      </c>
      <c r="DA263" s="1">
        <v>413056546</v>
      </c>
      <c r="DB263" s="1">
        <v>414520033</v>
      </c>
      <c r="DC263" s="1">
        <v>591929528</v>
      </c>
      <c r="DD263" s="1">
        <v>0</v>
      </c>
      <c r="DE263" s="1">
        <v>0</v>
      </c>
      <c r="DF263" s="1">
        <v>0</v>
      </c>
      <c r="DH263" s="6">
        <f t="shared" si="115"/>
        <v>26808232050</v>
      </c>
    </row>
    <row r="264" spans="1:112" x14ac:dyDescent="0.2">
      <c r="A264" s="5" t="s">
        <v>35</v>
      </c>
      <c r="B264" s="5" t="s">
        <v>42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>
        <v>131444523</v>
      </c>
      <c r="AL264" s="1">
        <v>180900000</v>
      </c>
      <c r="AM264" s="1">
        <v>211300000</v>
      </c>
      <c r="AN264" s="1">
        <v>176300000</v>
      </c>
      <c r="AO264" s="1">
        <v>205900000</v>
      </c>
      <c r="AP264" s="1">
        <v>172400000</v>
      </c>
      <c r="AQ264" s="1">
        <v>160900000</v>
      </c>
      <c r="AR264" s="1">
        <v>174500000</v>
      </c>
      <c r="AS264" s="1">
        <v>144500000</v>
      </c>
      <c r="AT264" s="1">
        <v>144509000</v>
      </c>
      <c r="AU264" s="1">
        <v>257348000</v>
      </c>
      <c r="AV264" s="1">
        <v>375330000</v>
      </c>
      <c r="AW264" s="1">
        <v>365697000</v>
      </c>
      <c r="AX264" s="1">
        <v>341791900</v>
      </c>
      <c r="AY264" s="1">
        <v>386059756</v>
      </c>
      <c r="AZ264" s="1">
        <v>313298305</v>
      </c>
      <c r="BA264" s="1">
        <v>370230004</v>
      </c>
      <c r="BB264" s="1">
        <v>292796670</v>
      </c>
      <c r="BC264" s="1">
        <v>261582468</v>
      </c>
      <c r="BD264" s="1">
        <v>215774186</v>
      </c>
      <c r="BE264" s="1">
        <v>182769323</v>
      </c>
      <c r="BF264" s="1">
        <v>205863860</v>
      </c>
      <c r="BG264" s="1">
        <v>336933437</v>
      </c>
      <c r="BH264" s="1">
        <v>405337575</v>
      </c>
      <c r="BI264" s="1">
        <v>439456908</v>
      </c>
      <c r="BJ264" s="1">
        <v>440445414</v>
      </c>
      <c r="BK264" s="1">
        <v>410773606</v>
      </c>
      <c r="BL264" s="1">
        <v>327326201</v>
      </c>
      <c r="BM264" s="1">
        <v>392667304</v>
      </c>
      <c r="BN264" s="1">
        <v>318416216</v>
      </c>
      <c r="BO264" s="1">
        <v>279794996</v>
      </c>
      <c r="BP264" s="1">
        <v>230337515</v>
      </c>
      <c r="BQ264" s="1">
        <v>215489157</v>
      </c>
      <c r="BR264" s="1">
        <v>243456822</v>
      </c>
      <c r="BS264" s="1">
        <v>420006053</v>
      </c>
      <c r="BT264" s="1">
        <v>445192913</v>
      </c>
      <c r="BU264" s="1">
        <v>517141377</v>
      </c>
      <c r="BV264" s="1">
        <v>495067783</v>
      </c>
      <c r="BW264" s="1">
        <v>467403058</v>
      </c>
      <c r="BX264" s="1">
        <v>380390401</v>
      </c>
      <c r="BY264" s="1">
        <v>473595403</v>
      </c>
      <c r="BZ264" s="1">
        <v>384219719</v>
      </c>
      <c r="CA264" s="1">
        <v>381801113</v>
      </c>
      <c r="CB264" s="1">
        <v>344792936</v>
      </c>
      <c r="CC264" s="1">
        <v>273927581</v>
      </c>
      <c r="CD264" s="1">
        <v>344396828</v>
      </c>
      <c r="CE264" s="1">
        <v>524733295</v>
      </c>
      <c r="CF264" s="1">
        <v>551170451</v>
      </c>
      <c r="CG264" s="1">
        <v>598564013</v>
      </c>
      <c r="CH264" s="1">
        <v>572715244</v>
      </c>
      <c r="CI264" s="1">
        <v>548973451</v>
      </c>
      <c r="CJ264" s="1">
        <v>417400387</v>
      </c>
      <c r="CK264" s="1">
        <v>551767409</v>
      </c>
      <c r="CL264" s="1">
        <v>466538112</v>
      </c>
      <c r="CM264" s="1">
        <v>440636125</v>
      </c>
      <c r="CN264" s="1">
        <v>352491479</v>
      </c>
      <c r="CO264" s="1">
        <v>305140756</v>
      </c>
      <c r="CP264" s="1">
        <v>375882441</v>
      </c>
      <c r="CQ264" s="1">
        <v>565341250</v>
      </c>
      <c r="CR264" s="1">
        <v>658038191</v>
      </c>
      <c r="CS264" s="1">
        <v>647598361</v>
      </c>
      <c r="CT264" s="1">
        <v>540424861</v>
      </c>
      <c r="CU264" s="1">
        <v>538002852</v>
      </c>
      <c r="CV264" s="1">
        <v>462349706</v>
      </c>
      <c r="CW264" s="1">
        <v>562591437</v>
      </c>
      <c r="CX264" s="1">
        <v>484562888</v>
      </c>
      <c r="CY264" s="1">
        <v>446235071</v>
      </c>
      <c r="CZ264" s="1">
        <v>538002852</v>
      </c>
      <c r="DA264" s="1">
        <v>413056546</v>
      </c>
      <c r="DB264" s="1">
        <v>414520033</v>
      </c>
      <c r="DC264" s="1">
        <v>591929528</v>
      </c>
      <c r="DD264" s="1">
        <v>0</v>
      </c>
      <c r="DE264" s="1">
        <v>0</v>
      </c>
      <c r="DF264" s="1">
        <v>0</v>
      </c>
      <c r="DH264" s="6">
        <f t="shared" si="115"/>
        <v>26808232050</v>
      </c>
    </row>
    <row r="265" spans="1:112" x14ac:dyDescent="0.2">
      <c r="A265" s="5" t="s">
        <v>35</v>
      </c>
      <c r="B265" s="5" t="s">
        <v>43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>
        <f t="shared" ref="AK265:BO265" si="119">AK263-AK264</f>
        <v>0</v>
      </c>
      <c r="AL265" s="1">
        <f t="shared" si="119"/>
        <v>0</v>
      </c>
      <c r="AM265" s="1">
        <f t="shared" si="119"/>
        <v>0</v>
      </c>
      <c r="AN265" s="1">
        <f t="shared" si="119"/>
        <v>0</v>
      </c>
      <c r="AO265" s="1">
        <f t="shared" si="119"/>
        <v>0</v>
      </c>
      <c r="AP265" s="1">
        <f t="shared" si="119"/>
        <v>0</v>
      </c>
      <c r="AQ265" s="1">
        <f t="shared" si="119"/>
        <v>0</v>
      </c>
      <c r="AR265" s="1">
        <f t="shared" si="119"/>
        <v>0</v>
      </c>
      <c r="AS265" s="1">
        <f t="shared" si="119"/>
        <v>0</v>
      </c>
      <c r="AT265" s="1">
        <f t="shared" si="119"/>
        <v>0</v>
      </c>
      <c r="AU265" s="1">
        <f t="shared" si="119"/>
        <v>0</v>
      </c>
      <c r="AV265" s="1">
        <f t="shared" si="119"/>
        <v>0</v>
      </c>
      <c r="AW265" s="1">
        <f t="shared" si="119"/>
        <v>0</v>
      </c>
      <c r="AX265" s="1">
        <f t="shared" si="119"/>
        <v>0</v>
      </c>
      <c r="AY265" s="1">
        <f t="shared" si="119"/>
        <v>0</v>
      </c>
      <c r="AZ265" s="1">
        <f t="shared" si="119"/>
        <v>0</v>
      </c>
      <c r="BA265" s="1">
        <f t="shared" si="119"/>
        <v>0</v>
      </c>
      <c r="BB265" s="1">
        <f t="shared" si="119"/>
        <v>0</v>
      </c>
      <c r="BC265" s="1">
        <f t="shared" si="119"/>
        <v>0</v>
      </c>
      <c r="BD265" s="1">
        <f t="shared" si="119"/>
        <v>0</v>
      </c>
      <c r="BE265" s="1">
        <f t="shared" si="119"/>
        <v>0</v>
      </c>
      <c r="BF265" s="1">
        <f t="shared" si="119"/>
        <v>0</v>
      </c>
      <c r="BG265" s="1">
        <f t="shared" si="119"/>
        <v>0</v>
      </c>
      <c r="BH265" s="1">
        <f t="shared" si="119"/>
        <v>0</v>
      </c>
      <c r="BI265" s="1">
        <f t="shared" si="119"/>
        <v>0</v>
      </c>
      <c r="BJ265" s="1">
        <f t="shared" si="119"/>
        <v>0</v>
      </c>
      <c r="BK265" s="1">
        <f t="shared" si="119"/>
        <v>0</v>
      </c>
      <c r="BL265" s="1">
        <f t="shared" si="119"/>
        <v>0</v>
      </c>
      <c r="BM265" s="1">
        <f t="shared" si="119"/>
        <v>0</v>
      </c>
      <c r="BN265" s="1">
        <f t="shared" si="119"/>
        <v>0</v>
      </c>
      <c r="BO265" s="1">
        <f t="shared" si="119"/>
        <v>0</v>
      </c>
      <c r="BP265" s="1">
        <f>BP263-BP264</f>
        <v>0</v>
      </c>
      <c r="BQ265" s="1">
        <f t="shared" ref="BQ265:CC265" si="120">BQ263-BQ264</f>
        <v>0</v>
      </c>
      <c r="BR265" s="1">
        <f t="shared" si="120"/>
        <v>0</v>
      </c>
      <c r="BS265" s="1">
        <f t="shared" si="120"/>
        <v>0</v>
      </c>
      <c r="BT265" s="1">
        <f t="shared" si="120"/>
        <v>0</v>
      </c>
      <c r="BU265" s="1">
        <f t="shared" si="120"/>
        <v>0</v>
      </c>
      <c r="BV265" s="1">
        <f t="shared" si="120"/>
        <v>0</v>
      </c>
      <c r="BW265" s="1">
        <f t="shared" si="120"/>
        <v>0</v>
      </c>
      <c r="BX265" s="1">
        <f t="shared" si="120"/>
        <v>0</v>
      </c>
      <c r="BY265" s="1">
        <f t="shared" si="120"/>
        <v>0</v>
      </c>
      <c r="BZ265" s="1">
        <f t="shared" si="120"/>
        <v>0</v>
      </c>
      <c r="CA265" s="1">
        <f t="shared" si="120"/>
        <v>0</v>
      </c>
      <c r="CB265" s="1">
        <f t="shared" si="120"/>
        <v>0</v>
      </c>
      <c r="CC265" s="1">
        <f t="shared" si="120"/>
        <v>0</v>
      </c>
      <c r="CD265" s="1">
        <f>CD263-CD264</f>
        <v>0</v>
      </c>
      <c r="CE265" s="1">
        <f>CE263-CE264</f>
        <v>0</v>
      </c>
      <c r="CF265" s="1">
        <f>CF263-CF264</f>
        <v>0</v>
      </c>
      <c r="CG265" s="1">
        <f>CG263-CG264</f>
        <v>0</v>
      </c>
      <c r="CH265" s="1">
        <f>CH263-CH264</f>
        <v>0</v>
      </c>
      <c r="CI265" s="1">
        <f t="shared" ref="CI265:DF265" si="121">CI263-CI264</f>
        <v>0</v>
      </c>
      <c r="CJ265" s="1">
        <f t="shared" si="121"/>
        <v>0</v>
      </c>
      <c r="CK265" s="1">
        <f t="shared" si="121"/>
        <v>0</v>
      </c>
      <c r="CL265" s="1">
        <f t="shared" si="121"/>
        <v>0</v>
      </c>
      <c r="CM265" s="1">
        <f t="shared" si="121"/>
        <v>0</v>
      </c>
      <c r="CN265" s="1">
        <f t="shared" si="121"/>
        <v>0</v>
      </c>
      <c r="CO265" s="1">
        <f t="shared" si="121"/>
        <v>0</v>
      </c>
      <c r="CP265" s="1">
        <f t="shared" si="121"/>
        <v>0</v>
      </c>
      <c r="CQ265" s="1">
        <f t="shared" si="121"/>
        <v>0</v>
      </c>
      <c r="CR265" s="1">
        <f t="shared" si="121"/>
        <v>0</v>
      </c>
      <c r="CS265" s="1">
        <f t="shared" si="121"/>
        <v>0</v>
      </c>
      <c r="CT265" s="1">
        <f t="shared" si="121"/>
        <v>0</v>
      </c>
      <c r="CU265" s="1">
        <f t="shared" si="121"/>
        <v>0</v>
      </c>
      <c r="CV265" s="1">
        <f t="shared" si="121"/>
        <v>0</v>
      </c>
      <c r="CW265" s="1">
        <f t="shared" si="121"/>
        <v>0</v>
      </c>
      <c r="CX265" s="1">
        <f t="shared" si="121"/>
        <v>0</v>
      </c>
      <c r="CY265" s="1">
        <f t="shared" si="121"/>
        <v>0</v>
      </c>
      <c r="CZ265" s="1">
        <f t="shared" si="121"/>
        <v>0</v>
      </c>
      <c r="DA265" s="1">
        <f t="shared" si="121"/>
        <v>0</v>
      </c>
      <c r="DB265" s="1">
        <f t="shared" si="121"/>
        <v>0</v>
      </c>
      <c r="DC265" s="1">
        <f t="shared" si="121"/>
        <v>0</v>
      </c>
      <c r="DD265" s="1">
        <f t="shared" si="121"/>
        <v>0</v>
      </c>
      <c r="DE265" s="1">
        <f t="shared" si="121"/>
        <v>0</v>
      </c>
      <c r="DF265" s="1">
        <f t="shared" si="121"/>
        <v>0</v>
      </c>
      <c r="DH265" s="6">
        <f t="shared" si="115"/>
        <v>0</v>
      </c>
    </row>
    <row r="266" spans="1:112" x14ac:dyDescent="0.2">
      <c r="A266" s="5" t="s">
        <v>35</v>
      </c>
      <c r="B266" s="5" t="s">
        <v>5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>
        <v>13224908</v>
      </c>
      <c r="AL266" s="1">
        <v>13900000</v>
      </c>
      <c r="AM266" s="1">
        <v>20900000</v>
      </c>
      <c r="AN266" s="1">
        <v>13000000</v>
      </c>
      <c r="AO266" s="1">
        <v>18000000</v>
      </c>
      <c r="AP266" s="1">
        <v>15500000</v>
      </c>
      <c r="AQ266" s="1">
        <v>15400000</v>
      </c>
      <c r="AR266" s="1">
        <v>18300000</v>
      </c>
      <c r="AS266" s="1">
        <v>15100000</v>
      </c>
      <c r="AT266" s="1">
        <v>13154000</v>
      </c>
      <c r="AU266" s="1">
        <v>25577000</v>
      </c>
      <c r="AV266" s="1">
        <v>22908000</v>
      </c>
      <c r="AW266" s="1">
        <v>36920000</v>
      </c>
      <c r="AX266" s="1">
        <v>24618100</v>
      </c>
      <c r="AY266" s="1">
        <v>36249453</v>
      </c>
      <c r="AZ266" s="1">
        <v>20945018</v>
      </c>
      <c r="BA266" s="1">
        <v>26520468</v>
      </c>
      <c r="BB266" s="1">
        <v>27142800</v>
      </c>
      <c r="BC266" s="1">
        <v>27315928</v>
      </c>
      <c r="BD266" s="1">
        <v>15855649</v>
      </c>
      <c r="BE266" s="1">
        <v>18174226</v>
      </c>
      <c r="BF266" s="1">
        <v>27200883</v>
      </c>
      <c r="BG266" s="1">
        <v>46285200</v>
      </c>
      <c r="BH266" s="1">
        <v>37295159</v>
      </c>
      <c r="BI266" s="1">
        <v>47248222</v>
      </c>
      <c r="BJ266" s="1">
        <v>49176885</v>
      </c>
      <c r="BK266" s="1">
        <v>41392586</v>
      </c>
      <c r="BL266" s="1">
        <v>33943931</v>
      </c>
      <c r="BM266" s="1">
        <v>45506700</v>
      </c>
      <c r="BN266" s="1">
        <v>34257592</v>
      </c>
      <c r="BO266" s="1">
        <v>37097192</v>
      </c>
      <c r="BP266" s="1">
        <v>25526655</v>
      </c>
      <c r="BQ266" s="1">
        <v>27090585.21327896</v>
      </c>
      <c r="BR266" s="1">
        <v>24005608.299538642</v>
      </c>
      <c r="BS266" s="1">
        <v>45067397.125847757</v>
      </c>
      <c r="BT266" s="1">
        <v>47967669.420936741</v>
      </c>
      <c r="BU266" s="1">
        <v>35943864.508048669</v>
      </c>
      <c r="BV266" s="1">
        <v>58810498.620022178</v>
      </c>
      <c r="BW266" s="1">
        <v>58856361.853583075</v>
      </c>
      <c r="BX266" s="1">
        <v>37095898.235475376</v>
      </c>
      <c r="BY266" s="1">
        <v>43686110.866756737</v>
      </c>
      <c r="BZ266" s="1">
        <v>42335423.830651879</v>
      </c>
      <c r="CA266" s="1">
        <v>45226473.330613568</v>
      </c>
      <c r="CB266" s="1">
        <v>38358820.92817951</v>
      </c>
      <c r="CC266" s="1">
        <v>35963144.123012163</v>
      </c>
      <c r="CD266" s="1">
        <v>35871827.302012362</v>
      </c>
      <c r="CE266" s="1">
        <v>66244323.038012445</v>
      </c>
      <c r="CF266" s="1">
        <v>45949577.501600541</v>
      </c>
      <c r="CG266" s="1">
        <v>73284781.254074559</v>
      </c>
      <c r="CH266" s="1">
        <v>41058545.727097496</v>
      </c>
      <c r="CI266" s="1">
        <v>62867596.426328033</v>
      </c>
      <c r="CJ266" s="1">
        <v>36639367.360937737</v>
      </c>
      <c r="CK266" s="1">
        <v>42292265.378163785</v>
      </c>
      <c r="CL266" s="1">
        <v>48825882.671982795</v>
      </c>
      <c r="CM266" s="1">
        <v>53155588.011390403</v>
      </c>
      <c r="CN266" s="1">
        <v>51895760.134418473</v>
      </c>
      <c r="CO266" s="1">
        <v>40963573.161846809</v>
      </c>
      <c r="CP266" s="1">
        <v>51526250.291308254</v>
      </c>
      <c r="CQ266" s="1">
        <v>52253107.425909929</v>
      </c>
      <c r="CR266" s="1">
        <v>67324302.115080863</v>
      </c>
      <c r="CS266" s="1">
        <v>84099936.300790131</v>
      </c>
      <c r="CT266" s="1">
        <v>74233059.223016724</v>
      </c>
      <c r="CU266" s="1">
        <v>66246208.879245766</v>
      </c>
      <c r="CV266" s="1">
        <v>50387695.625555463</v>
      </c>
      <c r="CW266" s="1">
        <v>60064900.488871597</v>
      </c>
      <c r="CX266" s="1">
        <v>60254737.134456947</v>
      </c>
      <c r="CY266" s="1">
        <v>56782037.071642101</v>
      </c>
      <c r="CZ266" s="1">
        <v>53998736.885746554</v>
      </c>
      <c r="DA266" s="1">
        <v>53818935.137306452</v>
      </c>
      <c r="DB266" s="1">
        <v>46704131.783549346</v>
      </c>
      <c r="DC266" s="1">
        <v>61187726.328923307</v>
      </c>
      <c r="DD266" s="1">
        <v>0</v>
      </c>
      <c r="DE266" s="1">
        <v>0</v>
      </c>
      <c r="DF266" s="1">
        <v>0</v>
      </c>
      <c r="DH266" s="6">
        <f t="shared" si="115"/>
        <v>2841975264.0152149</v>
      </c>
    </row>
    <row r="267" spans="1:112" x14ac:dyDescent="0.2">
      <c r="A267" s="5" t="s">
        <v>35</v>
      </c>
      <c r="B267" s="5" t="s">
        <v>44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>
        <v>13224908</v>
      </c>
      <c r="AL267" s="1">
        <v>13900000</v>
      </c>
      <c r="AM267" s="1">
        <v>20900000</v>
      </c>
      <c r="AN267" s="1">
        <v>13000000</v>
      </c>
      <c r="AO267" s="1">
        <v>18000000</v>
      </c>
      <c r="AP267" s="1">
        <v>15500000</v>
      </c>
      <c r="AQ267" s="1">
        <v>15400000</v>
      </c>
      <c r="AR267" s="1">
        <v>18300000</v>
      </c>
      <c r="AS267" s="1">
        <v>15100000</v>
      </c>
      <c r="AT267" s="1">
        <v>13154000</v>
      </c>
      <c r="AU267" s="1">
        <v>25577000</v>
      </c>
      <c r="AV267" s="1">
        <v>22908000</v>
      </c>
      <c r="AW267" s="1">
        <v>36920000</v>
      </c>
      <c r="AX267" s="1">
        <v>24618100</v>
      </c>
      <c r="AY267" s="1">
        <v>36249453</v>
      </c>
      <c r="AZ267" s="1">
        <v>20945018</v>
      </c>
      <c r="BA267" s="1">
        <v>26520468</v>
      </c>
      <c r="BB267" s="1">
        <v>27142800</v>
      </c>
      <c r="BC267" s="1">
        <v>27315928</v>
      </c>
      <c r="BD267" s="1">
        <v>15855649</v>
      </c>
      <c r="BE267" s="1">
        <v>18174226</v>
      </c>
      <c r="BF267" s="1">
        <v>27200883</v>
      </c>
      <c r="BG267" s="1">
        <v>46285200</v>
      </c>
      <c r="BH267" s="1">
        <v>37295159</v>
      </c>
      <c r="BI267" s="1">
        <v>47248222</v>
      </c>
      <c r="BJ267" s="1">
        <v>49176885</v>
      </c>
      <c r="BK267" s="1">
        <v>41392586</v>
      </c>
      <c r="BL267" s="1">
        <v>33943931</v>
      </c>
      <c r="BM267" s="1">
        <v>45506700</v>
      </c>
      <c r="BN267" s="1">
        <v>34257592</v>
      </c>
      <c r="BO267" s="1">
        <v>37097192</v>
      </c>
      <c r="BP267" s="1">
        <v>25526655</v>
      </c>
      <c r="BQ267" s="1">
        <v>27090585.21327896</v>
      </c>
      <c r="BR267" s="1">
        <v>24005608.299538642</v>
      </c>
      <c r="BS267" s="1">
        <v>45067397.125847757</v>
      </c>
      <c r="BT267" s="1">
        <v>47967669.420936741</v>
      </c>
      <c r="BU267" s="1">
        <v>35943864.508048669</v>
      </c>
      <c r="BV267" s="1">
        <v>58810498.620022178</v>
      </c>
      <c r="BW267" s="1">
        <v>58856361.853583075</v>
      </c>
      <c r="BX267" s="1">
        <v>37095898.235475376</v>
      </c>
      <c r="BY267" s="1">
        <v>43686110.866756737</v>
      </c>
      <c r="BZ267" s="1">
        <v>42335423.830651879</v>
      </c>
      <c r="CA267" s="1">
        <v>45226473.330613568</v>
      </c>
      <c r="CB267" s="1">
        <v>38358820.92817951</v>
      </c>
      <c r="CC267" s="1">
        <v>35963144.123012163</v>
      </c>
      <c r="CD267" s="1">
        <v>35871827.302012362</v>
      </c>
      <c r="CE267" s="1">
        <v>66244323.038012445</v>
      </c>
      <c r="CF267" s="1">
        <v>45949577.501600541</v>
      </c>
      <c r="CG267" s="1">
        <v>73284781.254074559</v>
      </c>
      <c r="CH267" s="1">
        <v>41058545.727097496</v>
      </c>
      <c r="CI267" s="1">
        <v>62867596.426328033</v>
      </c>
      <c r="CJ267" s="1">
        <v>36639367.360937737</v>
      </c>
      <c r="CK267" s="1">
        <v>42292265.378163785</v>
      </c>
      <c r="CL267" s="1">
        <v>48825882.671982795</v>
      </c>
      <c r="CM267" s="1">
        <v>53155588.011390403</v>
      </c>
      <c r="CN267" s="1">
        <v>51895760.134418473</v>
      </c>
      <c r="CO267" s="1">
        <v>40963573.161846809</v>
      </c>
      <c r="CP267" s="1">
        <v>51526250.291308254</v>
      </c>
      <c r="CQ267" s="1">
        <v>52253107.425909929</v>
      </c>
      <c r="CR267" s="1">
        <v>67324302.115080863</v>
      </c>
      <c r="CS267" s="1">
        <v>84099936.300790131</v>
      </c>
      <c r="CT267" s="1">
        <v>74233059.223016724</v>
      </c>
      <c r="CU267" s="1">
        <v>66246208.879245766</v>
      </c>
      <c r="CV267" s="1">
        <v>50387695.625555463</v>
      </c>
      <c r="CW267" s="1">
        <v>60064900.488871597</v>
      </c>
      <c r="CX267" s="1">
        <v>60254737.134456947</v>
      </c>
      <c r="CY267" s="1">
        <v>56782037.071642101</v>
      </c>
      <c r="CZ267" s="1">
        <v>53998736.885746554</v>
      </c>
      <c r="DA267" s="1">
        <v>53818935.137306452</v>
      </c>
      <c r="DB267" s="1">
        <v>46704131.783549346</v>
      </c>
      <c r="DC267" s="1">
        <v>61187726.328923307</v>
      </c>
      <c r="DD267" s="1">
        <v>0</v>
      </c>
      <c r="DE267" s="1">
        <v>0</v>
      </c>
      <c r="DF267" s="1">
        <v>0</v>
      </c>
      <c r="DH267" s="6">
        <f t="shared" si="115"/>
        <v>2841975264.0152149</v>
      </c>
    </row>
    <row r="268" spans="1:112" x14ac:dyDescent="0.2">
      <c r="A268" s="5" t="s">
        <v>35</v>
      </c>
      <c r="B268" s="5" t="s">
        <v>45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>
        <f t="shared" ref="AK268:BO268" si="122">AK266-AK267</f>
        <v>0</v>
      </c>
      <c r="AL268" s="1">
        <f t="shared" si="122"/>
        <v>0</v>
      </c>
      <c r="AM268" s="1">
        <f t="shared" si="122"/>
        <v>0</v>
      </c>
      <c r="AN268" s="1">
        <f t="shared" si="122"/>
        <v>0</v>
      </c>
      <c r="AO268" s="1">
        <f t="shared" si="122"/>
        <v>0</v>
      </c>
      <c r="AP268" s="1">
        <f t="shared" si="122"/>
        <v>0</v>
      </c>
      <c r="AQ268" s="1">
        <f t="shared" si="122"/>
        <v>0</v>
      </c>
      <c r="AR268" s="1">
        <f t="shared" si="122"/>
        <v>0</v>
      </c>
      <c r="AS268" s="1">
        <f t="shared" si="122"/>
        <v>0</v>
      </c>
      <c r="AT268" s="1">
        <f t="shared" si="122"/>
        <v>0</v>
      </c>
      <c r="AU268" s="1">
        <f t="shared" si="122"/>
        <v>0</v>
      </c>
      <c r="AV268" s="1">
        <f t="shared" si="122"/>
        <v>0</v>
      </c>
      <c r="AW268" s="1">
        <f t="shared" si="122"/>
        <v>0</v>
      </c>
      <c r="AX268" s="1">
        <f t="shared" si="122"/>
        <v>0</v>
      </c>
      <c r="AY268" s="1">
        <f t="shared" si="122"/>
        <v>0</v>
      </c>
      <c r="AZ268" s="1">
        <f t="shared" si="122"/>
        <v>0</v>
      </c>
      <c r="BA268" s="1">
        <f t="shared" si="122"/>
        <v>0</v>
      </c>
      <c r="BB268" s="1">
        <f t="shared" si="122"/>
        <v>0</v>
      </c>
      <c r="BC268" s="1">
        <f t="shared" si="122"/>
        <v>0</v>
      </c>
      <c r="BD268" s="1">
        <f t="shared" si="122"/>
        <v>0</v>
      </c>
      <c r="BE268" s="1">
        <f t="shared" si="122"/>
        <v>0</v>
      </c>
      <c r="BF268" s="1">
        <f t="shared" si="122"/>
        <v>0</v>
      </c>
      <c r="BG268" s="1">
        <f t="shared" si="122"/>
        <v>0</v>
      </c>
      <c r="BH268" s="1">
        <f t="shared" si="122"/>
        <v>0</v>
      </c>
      <c r="BI268" s="1">
        <f t="shared" si="122"/>
        <v>0</v>
      </c>
      <c r="BJ268" s="1">
        <f t="shared" si="122"/>
        <v>0</v>
      </c>
      <c r="BK268" s="1">
        <f t="shared" si="122"/>
        <v>0</v>
      </c>
      <c r="BL268" s="1">
        <f t="shared" si="122"/>
        <v>0</v>
      </c>
      <c r="BM268" s="1">
        <f t="shared" si="122"/>
        <v>0</v>
      </c>
      <c r="BN268" s="1">
        <f t="shared" si="122"/>
        <v>0</v>
      </c>
      <c r="BO268" s="1">
        <f t="shared" si="122"/>
        <v>0</v>
      </c>
      <c r="BP268" s="1">
        <f>BP266-BP267</f>
        <v>0</v>
      </c>
      <c r="BQ268" s="1">
        <f t="shared" ref="BQ268:CC268" si="123">BQ266-BQ267</f>
        <v>0</v>
      </c>
      <c r="BR268" s="1">
        <f t="shared" si="123"/>
        <v>0</v>
      </c>
      <c r="BS268" s="1">
        <f t="shared" si="123"/>
        <v>0</v>
      </c>
      <c r="BT268" s="1">
        <f t="shared" si="123"/>
        <v>0</v>
      </c>
      <c r="BU268" s="1">
        <f t="shared" si="123"/>
        <v>0</v>
      </c>
      <c r="BV268" s="1">
        <f t="shared" si="123"/>
        <v>0</v>
      </c>
      <c r="BW268" s="1">
        <f t="shared" si="123"/>
        <v>0</v>
      </c>
      <c r="BX268" s="1">
        <f t="shared" si="123"/>
        <v>0</v>
      </c>
      <c r="BY268" s="1">
        <f t="shared" si="123"/>
        <v>0</v>
      </c>
      <c r="BZ268" s="1">
        <f t="shared" si="123"/>
        <v>0</v>
      </c>
      <c r="CA268" s="1">
        <f t="shared" si="123"/>
        <v>0</v>
      </c>
      <c r="CB268" s="1">
        <f t="shared" si="123"/>
        <v>0</v>
      </c>
      <c r="CC268" s="1">
        <f t="shared" si="123"/>
        <v>0</v>
      </c>
      <c r="CD268" s="1">
        <f>CD266-CD267</f>
        <v>0</v>
      </c>
      <c r="CE268" s="1">
        <f>CE266-CE267</f>
        <v>0</v>
      </c>
      <c r="CF268" s="1">
        <f>CF266-CF267</f>
        <v>0</v>
      </c>
      <c r="CG268" s="1">
        <f>CG266-CG267</f>
        <v>0</v>
      </c>
      <c r="CH268" s="1">
        <f>CH266-CH267</f>
        <v>0</v>
      </c>
      <c r="CI268" s="1">
        <f t="shared" ref="CI268:DF268" si="124">CI266-CI267</f>
        <v>0</v>
      </c>
      <c r="CJ268" s="1">
        <f t="shared" si="124"/>
        <v>0</v>
      </c>
      <c r="CK268" s="1">
        <f t="shared" si="124"/>
        <v>0</v>
      </c>
      <c r="CL268" s="1">
        <f t="shared" si="124"/>
        <v>0</v>
      </c>
      <c r="CM268" s="1">
        <f t="shared" si="124"/>
        <v>0</v>
      </c>
      <c r="CN268" s="1">
        <f t="shared" si="124"/>
        <v>0</v>
      </c>
      <c r="CO268" s="1">
        <f t="shared" si="124"/>
        <v>0</v>
      </c>
      <c r="CP268" s="1">
        <f t="shared" si="124"/>
        <v>0</v>
      </c>
      <c r="CQ268" s="1">
        <f t="shared" si="124"/>
        <v>0</v>
      </c>
      <c r="CR268" s="1">
        <f t="shared" si="124"/>
        <v>0</v>
      </c>
      <c r="CS268" s="1">
        <f t="shared" si="124"/>
        <v>0</v>
      </c>
      <c r="CT268" s="1">
        <f t="shared" si="124"/>
        <v>0</v>
      </c>
      <c r="CU268" s="1">
        <f t="shared" si="124"/>
        <v>0</v>
      </c>
      <c r="CV268" s="1">
        <f t="shared" si="124"/>
        <v>0</v>
      </c>
      <c r="CW268" s="1">
        <f t="shared" si="124"/>
        <v>0</v>
      </c>
      <c r="CX268" s="1">
        <f t="shared" si="124"/>
        <v>0</v>
      </c>
      <c r="CY268" s="1">
        <f t="shared" si="124"/>
        <v>0</v>
      </c>
      <c r="CZ268" s="1">
        <f t="shared" si="124"/>
        <v>0</v>
      </c>
      <c r="DA268" s="1">
        <f t="shared" si="124"/>
        <v>0</v>
      </c>
      <c r="DB268" s="1">
        <f t="shared" si="124"/>
        <v>0</v>
      </c>
      <c r="DC268" s="1">
        <f t="shared" si="124"/>
        <v>0</v>
      </c>
      <c r="DD268" s="1">
        <f t="shared" si="124"/>
        <v>0</v>
      </c>
      <c r="DE268" s="1">
        <f t="shared" si="124"/>
        <v>0</v>
      </c>
      <c r="DF268" s="1">
        <f t="shared" si="124"/>
        <v>0</v>
      </c>
      <c r="DH268" s="6">
        <f t="shared" si="115"/>
        <v>0</v>
      </c>
    </row>
    <row r="269" spans="1:112" x14ac:dyDescent="0.2">
      <c r="A269" s="5" t="s">
        <v>35</v>
      </c>
      <c r="B269" s="5" t="s">
        <v>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>
        <v>13224908</v>
      </c>
      <c r="AL269" s="1">
        <v>13900000</v>
      </c>
      <c r="AM269" s="1">
        <v>21800000</v>
      </c>
      <c r="AN269" s="1">
        <v>13000000</v>
      </c>
      <c r="AO269" s="1">
        <v>16100000</v>
      </c>
      <c r="AP269" s="1">
        <v>14400000</v>
      </c>
      <c r="AQ269" s="1">
        <v>13700000</v>
      </c>
      <c r="AR269" s="1">
        <v>16100000</v>
      </c>
      <c r="AS269" s="1">
        <v>13400000</v>
      </c>
      <c r="AT269" s="1">
        <v>10100000</v>
      </c>
      <c r="AU269" s="1">
        <v>16663000</v>
      </c>
      <c r="AV269" s="1">
        <v>17200000</v>
      </c>
      <c r="AW269" s="1">
        <v>29600000</v>
      </c>
      <c r="AX269" s="1">
        <v>16500000</v>
      </c>
      <c r="AY269" s="1">
        <v>29087517</v>
      </c>
      <c r="AZ269" s="1">
        <v>15132871</v>
      </c>
      <c r="BA269" s="1">
        <v>22751210</v>
      </c>
      <c r="BB269" s="1">
        <v>23245647</v>
      </c>
      <c r="BC269" s="1">
        <v>23832288</v>
      </c>
      <c r="BD269" s="1">
        <v>12798246</v>
      </c>
      <c r="BE269" s="1">
        <v>18344020</v>
      </c>
      <c r="BF269" s="1">
        <v>24379237</v>
      </c>
      <c r="BG269" s="1">
        <v>43584813</v>
      </c>
      <c r="BH269" s="1">
        <v>34798407</v>
      </c>
      <c r="BI269" s="1">
        <v>45150107</v>
      </c>
      <c r="BJ269" s="1">
        <v>46968124</v>
      </c>
      <c r="BK269" s="1">
        <v>36347994</v>
      </c>
      <c r="BL269" s="1">
        <v>31844712</v>
      </c>
      <c r="BM269" s="1">
        <v>43734787</v>
      </c>
      <c r="BN269" s="1">
        <v>32178267</v>
      </c>
      <c r="BO269" s="1">
        <v>35725385</v>
      </c>
      <c r="BP269" s="1">
        <v>23143350</v>
      </c>
      <c r="BQ269" s="1">
        <v>25715482.21327896</v>
      </c>
      <c r="BR269" s="1">
        <v>22376095.299538642</v>
      </c>
      <c r="BS269" s="1">
        <v>43124791.125847757</v>
      </c>
      <c r="BT269" s="1">
        <v>46572916.420936741</v>
      </c>
      <c r="BU269" s="1">
        <v>34315091.508048669</v>
      </c>
      <c r="BV269" s="1">
        <v>57067361.620022178</v>
      </c>
      <c r="BW269" s="1">
        <v>57263886.853583075</v>
      </c>
      <c r="BX269" s="1">
        <v>34940156.235475376</v>
      </c>
      <c r="BY269" s="1">
        <v>42078979.866756737</v>
      </c>
      <c r="BZ269" s="1">
        <v>39019797.830651879</v>
      </c>
      <c r="CA269" s="1">
        <v>42645605.330613568</v>
      </c>
      <c r="CB269" s="1">
        <v>35764292.92817951</v>
      </c>
      <c r="CC269" s="1">
        <v>33573770.123012163</v>
      </c>
      <c r="CD269" s="1">
        <v>33496373.302012362</v>
      </c>
      <c r="CE269" s="1">
        <v>62345588.038012445</v>
      </c>
      <c r="CF269" s="1">
        <v>42543149.501600541</v>
      </c>
      <c r="CG269" s="1">
        <v>69108205.254074559</v>
      </c>
      <c r="CH269" s="1">
        <v>38192517.727097496</v>
      </c>
      <c r="CI269" s="1">
        <v>57540882.426328033</v>
      </c>
      <c r="CJ269" s="1">
        <v>32744795.360937737</v>
      </c>
      <c r="CK269" s="1">
        <v>39123805.378163785</v>
      </c>
      <c r="CL269" s="1">
        <v>45837881.671982795</v>
      </c>
      <c r="CM269" s="1">
        <v>49937263.011390403</v>
      </c>
      <c r="CN269" s="1">
        <v>50348188.134418473</v>
      </c>
      <c r="CO269" s="1">
        <v>33832768.161846809</v>
      </c>
      <c r="CP269" s="1">
        <v>47925211.291308254</v>
      </c>
      <c r="CQ269" s="1">
        <v>47772918.425909929</v>
      </c>
      <c r="CR269" s="1">
        <v>62972483.115080863</v>
      </c>
      <c r="CS269" s="1">
        <v>80229055.300790131</v>
      </c>
      <c r="CT269" s="1">
        <v>69965201.223016724</v>
      </c>
      <c r="CU269" s="1">
        <v>62828517.879245766</v>
      </c>
      <c r="CV269" s="1">
        <v>48038028.625555463</v>
      </c>
      <c r="CW269" s="1">
        <v>57029822.488871597</v>
      </c>
      <c r="CX269" s="1">
        <v>56497173.134456947</v>
      </c>
      <c r="CY269" s="1">
        <v>53585296.071642101</v>
      </c>
      <c r="CZ269" s="1">
        <v>50581045.885746554</v>
      </c>
      <c r="DA269" s="1">
        <v>50958938.137306452</v>
      </c>
      <c r="DB269" s="1">
        <v>44185465.783549346</v>
      </c>
      <c r="DC269" s="1">
        <v>57874103.328923307</v>
      </c>
      <c r="DD269" s="1">
        <v>0</v>
      </c>
      <c r="DE269" s="1">
        <v>0</v>
      </c>
      <c r="DF269" s="1">
        <v>0</v>
      </c>
      <c r="DH269" s="6">
        <f t="shared" si="115"/>
        <v>2628687796.015214</v>
      </c>
    </row>
    <row r="270" spans="1:112" x14ac:dyDescent="0.2">
      <c r="A270" s="5" t="s">
        <v>35</v>
      </c>
      <c r="B270" s="5" t="s">
        <v>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>
        <v>2363918</v>
      </c>
      <c r="AL270" s="1">
        <v>3080000</v>
      </c>
      <c r="AM270" s="1">
        <v>4300000</v>
      </c>
      <c r="AN270" s="1">
        <v>2600000</v>
      </c>
      <c r="AO270" s="1">
        <v>3200000</v>
      </c>
      <c r="AP270" s="1">
        <v>2800000</v>
      </c>
      <c r="AQ270" s="1">
        <v>2700000</v>
      </c>
      <c r="AR270" s="1">
        <v>3200000</v>
      </c>
      <c r="AS270" s="1">
        <v>2600000</v>
      </c>
      <c r="AT270" s="1">
        <v>2000000</v>
      </c>
      <c r="AU270" s="1">
        <v>3333000</v>
      </c>
      <c r="AV270" s="1">
        <v>3400000</v>
      </c>
      <c r="AW270" s="1">
        <v>5900000</v>
      </c>
      <c r="AX270" s="1">
        <v>3300000</v>
      </c>
      <c r="AY270" s="1">
        <v>5817504</v>
      </c>
      <c r="AZ270" s="1">
        <v>3026574</v>
      </c>
      <c r="BA270" s="1">
        <v>4550242</v>
      </c>
      <c r="BB270" s="1">
        <v>4649129</v>
      </c>
      <c r="BC270" s="1">
        <v>4766458</v>
      </c>
      <c r="BD270" s="1">
        <v>2559649</v>
      </c>
      <c r="BE270" s="1">
        <v>3668804</v>
      </c>
      <c r="BF270" s="1">
        <v>4875847</v>
      </c>
      <c r="BG270" s="1">
        <v>8716963</v>
      </c>
      <c r="BH270" s="1">
        <v>6989818</v>
      </c>
      <c r="BI270" s="1">
        <v>9030021</v>
      </c>
      <c r="BJ270" s="1">
        <v>9401952</v>
      </c>
      <c r="BK270" s="1">
        <v>7269600</v>
      </c>
      <c r="BL270" s="1">
        <v>6380150</v>
      </c>
      <c r="BM270" s="1">
        <v>8752898</v>
      </c>
      <c r="BN270" s="1">
        <v>6435653</v>
      </c>
      <c r="BO270" s="1">
        <v>7145077</v>
      </c>
      <c r="BP270" s="1">
        <v>4635761</v>
      </c>
      <c r="BQ270" s="1">
        <v>3951411</v>
      </c>
      <c r="BR270" s="1">
        <v>4462942</v>
      </c>
      <c r="BS270" s="1">
        <v>7715705</v>
      </c>
      <c r="BT270" s="1">
        <v>8190461</v>
      </c>
      <c r="BU270" s="1">
        <v>9513707</v>
      </c>
      <c r="BV270" s="1">
        <v>9104148</v>
      </c>
      <c r="BW270" s="1">
        <v>8596621</v>
      </c>
      <c r="BX270" s="1">
        <v>6980317</v>
      </c>
      <c r="BY270" s="1">
        <v>8710419</v>
      </c>
      <c r="BZ270" s="1">
        <v>7029494</v>
      </c>
      <c r="CA270" s="1">
        <v>6998418</v>
      </c>
      <c r="CB270" s="1">
        <v>6315166</v>
      </c>
      <c r="CC270" s="1">
        <v>5011204</v>
      </c>
      <c r="CD270" s="1">
        <v>6311946</v>
      </c>
      <c r="CE270" s="1">
        <v>9612392</v>
      </c>
      <c r="CF270" s="1">
        <v>10109043</v>
      </c>
      <c r="CG270" s="1">
        <v>10969178</v>
      </c>
      <c r="CH270" s="1">
        <v>10516365</v>
      </c>
      <c r="CI270" s="1">
        <v>10032973</v>
      </c>
      <c r="CJ270" s="1">
        <v>7631217</v>
      </c>
      <c r="CK270" s="1">
        <v>10124355</v>
      </c>
      <c r="CL270" s="1">
        <v>8555547</v>
      </c>
      <c r="CM270" s="1">
        <v>8074811</v>
      </c>
      <c r="CN270" s="1">
        <v>6476661</v>
      </c>
      <c r="CO270" s="1">
        <v>5513184</v>
      </c>
      <c r="CP270" s="1">
        <v>6887206</v>
      </c>
      <c r="CQ270" s="1">
        <v>10375930</v>
      </c>
      <c r="CR270" s="1">
        <v>12093198</v>
      </c>
      <c r="CS270" s="1">
        <v>11908958</v>
      </c>
      <c r="CT270" s="1">
        <v>9918905</v>
      </c>
      <c r="CU270" s="1">
        <v>9889825</v>
      </c>
      <c r="CV270" s="1">
        <v>8510001</v>
      </c>
      <c r="CW270" s="1">
        <v>10351793</v>
      </c>
      <c r="CX270" s="1">
        <v>8894899</v>
      </c>
      <c r="CY270" s="1">
        <v>8196209</v>
      </c>
      <c r="CZ270" s="1">
        <v>9889825</v>
      </c>
      <c r="DA270" s="1">
        <v>7588636</v>
      </c>
      <c r="DB270" s="1">
        <v>7622025</v>
      </c>
      <c r="DC270" s="1">
        <v>10889394</v>
      </c>
      <c r="DD270" s="1">
        <v>0</v>
      </c>
      <c r="DE270" s="1">
        <v>0</v>
      </c>
      <c r="DF270" s="1">
        <v>0</v>
      </c>
      <c r="DH270" s="6">
        <f t="shared" si="115"/>
        <v>482973507</v>
      </c>
    </row>
    <row r="271" spans="1:112" x14ac:dyDescent="0.2">
      <c r="A271" s="5" t="str">
        <f>A270</f>
        <v>TN</v>
      </c>
      <c r="B271" s="5" t="s">
        <v>41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H271" s="6">
        <f t="shared" si="115"/>
        <v>0</v>
      </c>
    </row>
    <row r="272" spans="1:112" x14ac:dyDescent="0.2">
      <c r="A272" s="5" t="s">
        <v>36</v>
      </c>
      <c r="B272" s="5" t="s">
        <v>4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>
        <v>443365.32</v>
      </c>
      <c r="AV272" s="1">
        <v>815036.68</v>
      </c>
      <c r="AW272" s="1">
        <v>717774.75</v>
      </c>
      <c r="AX272" s="1">
        <v>675311.75</v>
      </c>
      <c r="AY272" s="1">
        <v>835251.63</v>
      </c>
      <c r="AZ272" s="1">
        <v>685631.18</v>
      </c>
      <c r="BA272" s="1">
        <v>975347.25</v>
      </c>
      <c r="BB272" s="1">
        <v>368516.8</v>
      </c>
      <c r="BC272" s="1">
        <v>307994.74</v>
      </c>
      <c r="BD272" s="1">
        <v>301217.36</v>
      </c>
      <c r="BE272" s="1">
        <v>259180.26</v>
      </c>
      <c r="BF272" s="1">
        <v>266673.08</v>
      </c>
      <c r="BG272" s="1">
        <v>711576.76</v>
      </c>
      <c r="BH272" s="1">
        <v>862169.97</v>
      </c>
      <c r="BI272" s="1">
        <v>861659.9</v>
      </c>
      <c r="BJ272" s="1">
        <v>757609.55</v>
      </c>
      <c r="BK272" s="1">
        <v>910311.55</v>
      </c>
      <c r="BL272" s="1">
        <v>717136.7</v>
      </c>
      <c r="BM272" s="1">
        <v>923904.14</v>
      </c>
      <c r="BN272" s="1">
        <v>493044.9</v>
      </c>
      <c r="BO272" s="1">
        <v>528562.48</v>
      </c>
      <c r="BP272" s="1">
        <v>417024.67</v>
      </c>
      <c r="BQ272" s="1">
        <v>413368.45</v>
      </c>
      <c r="BR272" s="1">
        <v>518051.95</v>
      </c>
      <c r="BS272" s="1">
        <v>979693.67</v>
      </c>
      <c r="BT272" s="1">
        <v>1021660.02</v>
      </c>
      <c r="BU272" s="1">
        <v>967993.68</v>
      </c>
      <c r="BV272" s="1">
        <v>1143938.3700000001</v>
      </c>
      <c r="BW272" s="1">
        <v>868815.03</v>
      </c>
      <c r="BX272" s="1">
        <v>696016.94</v>
      </c>
      <c r="BY272" s="1">
        <v>1242270.27</v>
      </c>
      <c r="BZ272" s="1">
        <v>503507.7</v>
      </c>
      <c r="CA272" s="1">
        <v>495490.85</v>
      </c>
      <c r="CB272" s="1">
        <v>557594.94999999995</v>
      </c>
      <c r="CC272" s="1">
        <v>452754.85</v>
      </c>
      <c r="CD272" s="1">
        <v>505986.15</v>
      </c>
      <c r="CE272" s="1">
        <v>967836.66</v>
      </c>
      <c r="CF272" s="1">
        <v>915592.48</v>
      </c>
      <c r="CG272" s="1">
        <v>1001806.31</v>
      </c>
      <c r="CH272" s="1">
        <v>1029042.26</v>
      </c>
      <c r="CI272" s="1">
        <v>1024919.55</v>
      </c>
      <c r="CJ272" s="1">
        <v>733611.05</v>
      </c>
      <c r="CK272" s="1">
        <v>1575140.19</v>
      </c>
      <c r="CL272" s="1">
        <v>635392.47</v>
      </c>
      <c r="CM272" s="1">
        <v>611837.25</v>
      </c>
      <c r="CN272" s="1">
        <v>511456.46</v>
      </c>
      <c r="CO272" s="1">
        <v>530078.87</v>
      </c>
      <c r="CP272" s="1">
        <v>648611.72</v>
      </c>
      <c r="CQ272" s="1">
        <v>1120242.46</v>
      </c>
      <c r="CR272" s="1">
        <v>999530.4</v>
      </c>
      <c r="CS272" s="1">
        <v>1191406.6100000001</v>
      </c>
      <c r="CT272" s="1">
        <v>1215596.31</v>
      </c>
      <c r="CU272" s="1">
        <v>1079319.95</v>
      </c>
      <c r="CV272" s="1">
        <v>753317.23</v>
      </c>
      <c r="CW272" s="1">
        <v>1629620.4</v>
      </c>
      <c r="CX272" s="1">
        <v>596884.16</v>
      </c>
      <c r="CY272" s="1">
        <v>491137.73</v>
      </c>
      <c r="CZ272" s="1">
        <v>427086.34</v>
      </c>
      <c r="DA272" s="1">
        <v>458839.55</v>
      </c>
      <c r="DB272" s="1">
        <v>346548.53</v>
      </c>
      <c r="DC272" s="1">
        <v>0</v>
      </c>
      <c r="DD272" s="1">
        <v>0</v>
      </c>
      <c r="DE272" s="1">
        <v>0</v>
      </c>
      <c r="DF272" s="1">
        <v>0</v>
      </c>
      <c r="DH272" s="6">
        <f t="shared" si="115"/>
        <v>44696299.240000002</v>
      </c>
    </row>
    <row r="273" spans="1:112" x14ac:dyDescent="0.2">
      <c r="A273" s="5" t="s">
        <v>36</v>
      </c>
      <c r="B273" s="5" t="s">
        <v>42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H273" s="6">
        <f t="shared" si="115"/>
        <v>0</v>
      </c>
    </row>
    <row r="274" spans="1:112" x14ac:dyDescent="0.2">
      <c r="A274" s="5" t="s">
        <v>36</v>
      </c>
      <c r="B274" s="5" t="s">
        <v>43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>
        <f t="shared" ref="AU274:BO274" si="125">AU272-AU273</f>
        <v>443365.32</v>
      </c>
      <c r="AV274" s="1">
        <f t="shared" si="125"/>
        <v>815036.68</v>
      </c>
      <c r="AW274" s="1">
        <f t="shared" si="125"/>
        <v>717774.75</v>
      </c>
      <c r="AX274" s="1">
        <f t="shared" si="125"/>
        <v>675311.75</v>
      </c>
      <c r="AY274" s="1">
        <f t="shared" si="125"/>
        <v>835251.63</v>
      </c>
      <c r="AZ274" s="1">
        <f t="shared" si="125"/>
        <v>685631.18</v>
      </c>
      <c r="BA274" s="1">
        <f t="shared" si="125"/>
        <v>975347.25</v>
      </c>
      <c r="BB274" s="1">
        <f t="shared" si="125"/>
        <v>368516.8</v>
      </c>
      <c r="BC274" s="1">
        <f t="shared" si="125"/>
        <v>307994.74</v>
      </c>
      <c r="BD274" s="1">
        <f t="shared" si="125"/>
        <v>301217.36</v>
      </c>
      <c r="BE274" s="1">
        <f t="shared" si="125"/>
        <v>259180.26</v>
      </c>
      <c r="BF274" s="1">
        <f t="shared" si="125"/>
        <v>266673.08</v>
      </c>
      <c r="BG274" s="1">
        <f t="shared" si="125"/>
        <v>711576.76</v>
      </c>
      <c r="BH274" s="1">
        <f t="shared" si="125"/>
        <v>862169.97</v>
      </c>
      <c r="BI274" s="1">
        <f t="shared" si="125"/>
        <v>861659.9</v>
      </c>
      <c r="BJ274" s="1">
        <f t="shared" si="125"/>
        <v>757609.55</v>
      </c>
      <c r="BK274" s="1">
        <f t="shared" si="125"/>
        <v>910311.55</v>
      </c>
      <c r="BL274" s="1">
        <f t="shared" si="125"/>
        <v>717136.7</v>
      </c>
      <c r="BM274" s="1">
        <f t="shared" si="125"/>
        <v>923904.14</v>
      </c>
      <c r="BN274" s="1">
        <f t="shared" si="125"/>
        <v>493044.9</v>
      </c>
      <c r="BO274" s="1">
        <f t="shared" si="125"/>
        <v>528562.48</v>
      </c>
      <c r="BP274" s="1">
        <f>BP272-BP273</f>
        <v>417024.67</v>
      </c>
      <c r="BQ274" s="1">
        <f t="shared" ref="BQ274:CC274" si="126">BQ272-BQ273</f>
        <v>413368.45</v>
      </c>
      <c r="BR274" s="1">
        <f t="shared" si="126"/>
        <v>518051.95</v>
      </c>
      <c r="BS274" s="1">
        <f t="shared" si="126"/>
        <v>979693.67</v>
      </c>
      <c r="BT274" s="1">
        <f t="shared" si="126"/>
        <v>1021660.02</v>
      </c>
      <c r="BU274" s="1">
        <f t="shared" si="126"/>
        <v>967993.68</v>
      </c>
      <c r="BV274" s="1">
        <f t="shared" si="126"/>
        <v>1143938.3700000001</v>
      </c>
      <c r="BW274" s="1">
        <f t="shared" si="126"/>
        <v>868815.03</v>
      </c>
      <c r="BX274" s="1">
        <f t="shared" si="126"/>
        <v>696016.94</v>
      </c>
      <c r="BY274" s="1">
        <f t="shared" si="126"/>
        <v>1242270.27</v>
      </c>
      <c r="BZ274" s="1">
        <f t="shared" si="126"/>
        <v>503507.7</v>
      </c>
      <c r="CA274" s="1">
        <f t="shared" si="126"/>
        <v>495490.85</v>
      </c>
      <c r="CB274" s="1">
        <f t="shared" si="126"/>
        <v>557594.94999999995</v>
      </c>
      <c r="CC274" s="1">
        <f t="shared" si="126"/>
        <v>452754.85</v>
      </c>
      <c r="CD274" s="1">
        <f>CD272-CD273</f>
        <v>505986.15</v>
      </c>
      <c r="CE274" s="1">
        <f>CE272-CE273</f>
        <v>967836.66</v>
      </c>
      <c r="CF274" s="1">
        <f>CF272-CF273</f>
        <v>915592.48</v>
      </c>
      <c r="CG274" s="1">
        <f>CG272-CG273</f>
        <v>1001806.31</v>
      </c>
      <c r="CH274" s="1">
        <f>CH272-CH273</f>
        <v>1029042.26</v>
      </c>
      <c r="CI274" s="1">
        <f t="shared" ref="CI274:DF274" si="127">CI272-CI273</f>
        <v>1024919.55</v>
      </c>
      <c r="CJ274" s="1">
        <f t="shared" si="127"/>
        <v>733611.05</v>
      </c>
      <c r="CK274" s="1">
        <f t="shared" si="127"/>
        <v>1575140.19</v>
      </c>
      <c r="CL274" s="1">
        <f t="shared" si="127"/>
        <v>635392.47</v>
      </c>
      <c r="CM274" s="1">
        <f t="shared" si="127"/>
        <v>611837.25</v>
      </c>
      <c r="CN274" s="1">
        <f t="shared" si="127"/>
        <v>511456.46</v>
      </c>
      <c r="CO274" s="1">
        <f t="shared" si="127"/>
        <v>530078.87</v>
      </c>
      <c r="CP274" s="1">
        <f t="shared" si="127"/>
        <v>648611.72</v>
      </c>
      <c r="CQ274" s="1">
        <f t="shared" si="127"/>
        <v>1120242.46</v>
      </c>
      <c r="CR274" s="1">
        <f t="shared" si="127"/>
        <v>999530.4</v>
      </c>
      <c r="CS274" s="1">
        <f t="shared" si="127"/>
        <v>1191406.6100000001</v>
      </c>
      <c r="CT274" s="1">
        <f t="shared" si="127"/>
        <v>1215596.31</v>
      </c>
      <c r="CU274" s="1">
        <f t="shared" si="127"/>
        <v>1079319.95</v>
      </c>
      <c r="CV274" s="1">
        <f t="shared" si="127"/>
        <v>753317.23</v>
      </c>
      <c r="CW274" s="1">
        <f t="shared" si="127"/>
        <v>1629620.4</v>
      </c>
      <c r="CX274" s="1">
        <f t="shared" si="127"/>
        <v>596884.16</v>
      </c>
      <c r="CY274" s="1">
        <f t="shared" si="127"/>
        <v>491137.73</v>
      </c>
      <c r="CZ274" s="1">
        <f t="shared" si="127"/>
        <v>427086.34</v>
      </c>
      <c r="DA274" s="1">
        <f t="shared" si="127"/>
        <v>458839.55</v>
      </c>
      <c r="DB274" s="1">
        <f t="shared" si="127"/>
        <v>346548.53</v>
      </c>
      <c r="DC274" s="1">
        <f t="shared" si="127"/>
        <v>0</v>
      </c>
      <c r="DD274" s="1">
        <f t="shared" si="127"/>
        <v>0</v>
      </c>
      <c r="DE274" s="1">
        <f t="shared" si="127"/>
        <v>0</v>
      </c>
      <c r="DF274" s="1">
        <f t="shared" si="127"/>
        <v>0</v>
      </c>
      <c r="DH274" s="6">
        <f t="shared" si="115"/>
        <v>44696299.240000002</v>
      </c>
    </row>
    <row r="275" spans="1:112" x14ac:dyDescent="0.2">
      <c r="A275" s="5" t="s">
        <v>36</v>
      </c>
      <c r="B275" s="5" t="s">
        <v>5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>
        <v>71319.8</v>
      </c>
      <c r="AV275" s="1">
        <v>98037.32</v>
      </c>
      <c r="AW275" s="1">
        <v>74918.63</v>
      </c>
      <c r="AX275" s="1">
        <v>10305.9</v>
      </c>
      <c r="AY275" s="1">
        <v>82291.33</v>
      </c>
      <c r="AZ275" s="1">
        <v>71807.3</v>
      </c>
      <c r="BA275" s="1">
        <v>32388.720000000001</v>
      </c>
      <c r="BB275" s="1">
        <v>-13734.55</v>
      </c>
      <c r="BC275" s="1">
        <v>25102.37</v>
      </c>
      <c r="BD275" s="1">
        <v>27869.05</v>
      </c>
      <c r="BE275" s="1">
        <v>16143.44</v>
      </c>
      <c r="BF275" s="1">
        <v>59052.800000000003</v>
      </c>
      <c r="BG275" s="1">
        <v>211612.25</v>
      </c>
      <c r="BH275" s="1">
        <v>131749.44</v>
      </c>
      <c r="BI275" s="1">
        <v>75855.839999999997</v>
      </c>
      <c r="BJ275" s="1">
        <v>151373.74</v>
      </c>
      <c r="BK275" s="1">
        <v>123365.45</v>
      </c>
      <c r="BL275" s="1">
        <v>82853.41</v>
      </c>
      <c r="BM275" s="1">
        <v>161368.1</v>
      </c>
      <c r="BN275" s="1">
        <v>22503.27</v>
      </c>
      <c r="BO275" s="1">
        <v>22535.58</v>
      </c>
      <c r="BP275" s="1">
        <v>-9254.26</v>
      </c>
      <c r="BQ275" s="1">
        <v>20086.810000000001</v>
      </c>
      <c r="BR275" s="1">
        <v>37452.519999999997</v>
      </c>
      <c r="BS275" s="1">
        <v>170128.51</v>
      </c>
      <c r="BT275" s="1">
        <v>174906.32</v>
      </c>
      <c r="BU275" s="1">
        <v>49887.44</v>
      </c>
      <c r="BV275" s="1">
        <v>154098.09</v>
      </c>
      <c r="BW275" s="1">
        <v>94755.61</v>
      </c>
      <c r="BX275" s="1">
        <v>-38405.75</v>
      </c>
      <c r="BY275" s="1">
        <v>91215.38</v>
      </c>
      <c r="BZ275" s="1">
        <v>-11700.01</v>
      </c>
      <c r="CA275" s="1">
        <v>51486.33</v>
      </c>
      <c r="CB275" s="1">
        <v>20679.68</v>
      </c>
      <c r="CC275" s="1">
        <v>77421.149999999994</v>
      </c>
      <c r="CD275" s="1">
        <v>105719.05</v>
      </c>
      <c r="CE275" s="1">
        <v>215819.74</v>
      </c>
      <c r="CF275" s="1">
        <v>45792.15</v>
      </c>
      <c r="CG275" s="1">
        <v>145591.19</v>
      </c>
      <c r="CH275" s="1">
        <v>-22332.28</v>
      </c>
      <c r="CI275" s="1">
        <v>108976.2</v>
      </c>
      <c r="CJ275" s="1">
        <v>-18295.53</v>
      </c>
      <c r="CK275" s="1">
        <v>152244.04999999999</v>
      </c>
      <c r="CL275" s="1">
        <v>51818.559999999998</v>
      </c>
      <c r="CM275" s="1">
        <v>-477.65</v>
      </c>
      <c r="CN275" s="1">
        <v>63201.33</v>
      </c>
      <c r="CO275" s="1">
        <v>63967.27</v>
      </c>
      <c r="CP275" s="1">
        <v>146968.07</v>
      </c>
      <c r="CQ275" s="1">
        <v>133346.23999999999</v>
      </c>
      <c r="CR275" s="1">
        <v>33889.83</v>
      </c>
      <c r="CS275" s="1">
        <v>158769</v>
      </c>
      <c r="CT275" s="1">
        <v>125590.96</v>
      </c>
      <c r="CU275" s="1">
        <v>36852.94</v>
      </c>
      <c r="CV275" s="1">
        <v>2454.86</v>
      </c>
      <c r="CW275" s="1">
        <v>155779.88</v>
      </c>
      <c r="CX275" s="1">
        <v>116694.63</v>
      </c>
      <c r="CY275" s="1">
        <v>15407.74</v>
      </c>
      <c r="CZ275" s="1">
        <v>59066.41</v>
      </c>
      <c r="DA275" s="1">
        <v>123394.41</v>
      </c>
      <c r="DB275" s="1">
        <v>62305.55</v>
      </c>
      <c r="DC275" s="1">
        <v>0</v>
      </c>
      <c r="DD275" s="1">
        <v>0</v>
      </c>
      <c r="DE275" s="1">
        <v>0</v>
      </c>
      <c r="DF275" s="1">
        <v>0</v>
      </c>
      <c r="DH275" s="6">
        <f t="shared" si="115"/>
        <v>4504021.6100000003</v>
      </c>
    </row>
    <row r="276" spans="1:112" x14ac:dyDescent="0.2">
      <c r="A276" s="5" t="s">
        <v>36</v>
      </c>
      <c r="B276" s="5" t="s">
        <v>44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H276" s="6">
        <f t="shared" si="115"/>
        <v>0</v>
      </c>
    </row>
    <row r="277" spans="1:112" x14ac:dyDescent="0.2">
      <c r="A277" s="5" t="s">
        <v>36</v>
      </c>
      <c r="B277" s="5" t="s">
        <v>45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>
        <f t="shared" ref="AU277:BO277" si="128">AU275-AU276</f>
        <v>71319.8</v>
      </c>
      <c r="AV277" s="1">
        <f t="shared" si="128"/>
        <v>98037.32</v>
      </c>
      <c r="AW277" s="1">
        <f t="shared" si="128"/>
        <v>74918.63</v>
      </c>
      <c r="AX277" s="1">
        <f t="shared" si="128"/>
        <v>10305.9</v>
      </c>
      <c r="AY277" s="1">
        <f t="shared" si="128"/>
        <v>82291.33</v>
      </c>
      <c r="AZ277" s="1">
        <f t="shared" si="128"/>
        <v>71807.3</v>
      </c>
      <c r="BA277" s="1">
        <f t="shared" si="128"/>
        <v>32388.720000000001</v>
      </c>
      <c r="BB277" s="1">
        <f t="shared" si="128"/>
        <v>-13734.55</v>
      </c>
      <c r="BC277" s="1">
        <f t="shared" si="128"/>
        <v>25102.37</v>
      </c>
      <c r="BD277" s="1">
        <f t="shared" si="128"/>
        <v>27869.05</v>
      </c>
      <c r="BE277" s="1">
        <f t="shared" si="128"/>
        <v>16143.44</v>
      </c>
      <c r="BF277" s="1">
        <f t="shared" si="128"/>
        <v>59052.800000000003</v>
      </c>
      <c r="BG277" s="1">
        <f t="shared" si="128"/>
        <v>211612.25</v>
      </c>
      <c r="BH277" s="1">
        <f t="shared" si="128"/>
        <v>131749.44</v>
      </c>
      <c r="BI277" s="1">
        <f t="shared" si="128"/>
        <v>75855.839999999997</v>
      </c>
      <c r="BJ277" s="1">
        <f t="shared" si="128"/>
        <v>151373.74</v>
      </c>
      <c r="BK277" s="1">
        <f t="shared" si="128"/>
        <v>123365.45</v>
      </c>
      <c r="BL277" s="1">
        <f t="shared" si="128"/>
        <v>82853.41</v>
      </c>
      <c r="BM277" s="1">
        <f t="shared" si="128"/>
        <v>161368.1</v>
      </c>
      <c r="BN277" s="1">
        <f t="shared" si="128"/>
        <v>22503.27</v>
      </c>
      <c r="BO277" s="1">
        <f t="shared" si="128"/>
        <v>22535.58</v>
      </c>
      <c r="BP277" s="1">
        <f>BP275-BP276</f>
        <v>-9254.26</v>
      </c>
      <c r="BQ277" s="1">
        <f t="shared" ref="BQ277:CC277" si="129">BQ275-BQ276</f>
        <v>20086.810000000001</v>
      </c>
      <c r="BR277" s="1">
        <f t="shared" si="129"/>
        <v>37452.519999999997</v>
      </c>
      <c r="BS277" s="1">
        <f t="shared" si="129"/>
        <v>170128.51</v>
      </c>
      <c r="BT277" s="1">
        <f t="shared" si="129"/>
        <v>174906.32</v>
      </c>
      <c r="BU277" s="1">
        <f t="shared" si="129"/>
        <v>49887.44</v>
      </c>
      <c r="BV277" s="1">
        <f t="shared" si="129"/>
        <v>154098.09</v>
      </c>
      <c r="BW277" s="1">
        <f t="shared" si="129"/>
        <v>94755.61</v>
      </c>
      <c r="BX277" s="1">
        <f t="shared" si="129"/>
        <v>-38405.75</v>
      </c>
      <c r="BY277" s="1">
        <f t="shared" si="129"/>
        <v>91215.38</v>
      </c>
      <c r="BZ277" s="1">
        <f t="shared" si="129"/>
        <v>-11700.01</v>
      </c>
      <c r="CA277" s="1">
        <f t="shared" si="129"/>
        <v>51486.33</v>
      </c>
      <c r="CB277" s="1">
        <f t="shared" si="129"/>
        <v>20679.68</v>
      </c>
      <c r="CC277" s="1">
        <f t="shared" si="129"/>
        <v>77421.149999999994</v>
      </c>
      <c r="CD277" s="1">
        <f>CD275-CD276</f>
        <v>105719.05</v>
      </c>
      <c r="CE277" s="1">
        <f>CE275-CE276</f>
        <v>215819.74</v>
      </c>
      <c r="CF277" s="1">
        <f>CF275-CF276</f>
        <v>45792.15</v>
      </c>
      <c r="CG277" s="1">
        <f>CG275-CG276</f>
        <v>145591.19</v>
      </c>
      <c r="CH277" s="1">
        <f>CH275-CH276</f>
        <v>-22332.28</v>
      </c>
      <c r="CI277" s="1">
        <f t="shared" ref="CI277:DF277" si="130">CI275-CI276</f>
        <v>108976.2</v>
      </c>
      <c r="CJ277" s="1">
        <f t="shared" si="130"/>
        <v>-18295.53</v>
      </c>
      <c r="CK277" s="1">
        <f t="shared" si="130"/>
        <v>152244.04999999999</v>
      </c>
      <c r="CL277" s="1">
        <f t="shared" si="130"/>
        <v>51818.559999999998</v>
      </c>
      <c r="CM277" s="1">
        <f t="shared" si="130"/>
        <v>-477.65</v>
      </c>
      <c r="CN277" s="1">
        <f t="shared" si="130"/>
        <v>63201.33</v>
      </c>
      <c r="CO277" s="1">
        <f t="shared" si="130"/>
        <v>63967.27</v>
      </c>
      <c r="CP277" s="1">
        <f t="shared" si="130"/>
        <v>146968.07</v>
      </c>
      <c r="CQ277" s="1">
        <f t="shared" si="130"/>
        <v>133346.23999999999</v>
      </c>
      <c r="CR277" s="1">
        <f t="shared" si="130"/>
        <v>33889.83</v>
      </c>
      <c r="CS277" s="1">
        <f t="shared" si="130"/>
        <v>158769</v>
      </c>
      <c r="CT277" s="1">
        <f t="shared" si="130"/>
        <v>125590.96</v>
      </c>
      <c r="CU277" s="1">
        <f t="shared" si="130"/>
        <v>36852.94</v>
      </c>
      <c r="CV277" s="1">
        <f t="shared" si="130"/>
        <v>2454.86</v>
      </c>
      <c r="CW277" s="1">
        <f t="shared" si="130"/>
        <v>155779.88</v>
      </c>
      <c r="CX277" s="1">
        <f t="shared" si="130"/>
        <v>116694.63</v>
      </c>
      <c r="CY277" s="1">
        <f t="shared" si="130"/>
        <v>15407.74</v>
      </c>
      <c r="CZ277" s="1">
        <f t="shared" si="130"/>
        <v>59066.41</v>
      </c>
      <c r="DA277" s="1">
        <f t="shared" si="130"/>
        <v>123394.41</v>
      </c>
      <c r="DB277" s="1">
        <f t="shared" si="130"/>
        <v>62305.55</v>
      </c>
      <c r="DC277" s="1">
        <f t="shared" si="130"/>
        <v>0</v>
      </c>
      <c r="DD277" s="1">
        <f t="shared" si="130"/>
        <v>0</v>
      </c>
      <c r="DE277" s="1">
        <f t="shared" si="130"/>
        <v>0</v>
      </c>
      <c r="DF277" s="1">
        <f t="shared" si="130"/>
        <v>0</v>
      </c>
      <c r="DH277" s="6">
        <f t="shared" si="115"/>
        <v>4504021.6100000003</v>
      </c>
    </row>
    <row r="278" spans="1:112" x14ac:dyDescent="0.2">
      <c r="A278" s="5" t="s">
        <v>36</v>
      </c>
      <c r="B278" s="5" t="s">
        <v>6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>
        <v>71319.8</v>
      </c>
      <c r="AV278" s="1">
        <v>98037.32</v>
      </c>
      <c r="AW278" s="1">
        <v>74918.63</v>
      </c>
      <c r="AX278" s="1">
        <v>10305.9</v>
      </c>
      <c r="AY278" s="1">
        <v>82291.33</v>
      </c>
      <c r="AZ278" s="1">
        <v>71807.3</v>
      </c>
      <c r="BA278" s="1">
        <v>32388.720000000001</v>
      </c>
      <c r="BB278" s="1">
        <v>-13734.55</v>
      </c>
      <c r="BC278" s="1">
        <v>25102.37</v>
      </c>
      <c r="BD278" s="1">
        <v>27869.05</v>
      </c>
      <c r="BE278" s="1">
        <v>16143.44</v>
      </c>
      <c r="BF278" s="1">
        <v>59052.800000000003</v>
      </c>
      <c r="BG278" s="1">
        <v>211612.25</v>
      </c>
      <c r="BH278" s="1">
        <v>131749.44</v>
      </c>
      <c r="BI278" s="1">
        <v>75855.839999999997</v>
      </c>
      <c r="BJ278" s="1">
        <v>151373.74</v>
      </c>
      <c r="BK278" s="1">
        <v>123365.45</v>
      </c>
      <c r="BL278" s="1">
        <v>82853.41</v>
      </c>
      <c r="BM278" s="1">
        <v>161368.1</v>
      </c>
      <c r="BN278" s="1">
        <v>22503.27</v>
      </c>
      <c r="BO278" s="1">
        <v>22535.58</v>
      </c>
      <c r="BP278" s="1">
        <v>-9254.26</v>
      </c>
      <c r="BQ278" s="1">
        <v>20086.810000000001</v>
      </c>
      <c r="BR278" s="1">
        <v>37452.519999999997</v>
      </c>
      <c r="BS278" s="1">
        <v>170128.51</v>
      </c>
      <c r="BT278" s="1">
        <v>174906.32</v>
      </c>
      <c r="BU278" s="1">
        <v>49887.44</v>
      </c>
      <c r="BV278" s="1">
        <v>154098.09</v>
      </c>
      <c r="BW278" s="1">
        <v>94755.61</v>
      </c>
      <c r="BX278" s="1">
        <v>-38405.75</v>
      </c>
      <c r="BY278" s="1">
        <v>91215.38</v>
      </c>
      <c r="BZ278" s="1">
        <v>-11700.01</v>
      </c>
      <c r="CA278" s="1">
        <v>51486.33</v>
      </c>
      <c r="CB278" s="1">
        <v>20679.68</v>
      </c>
      <c r="CC278" s="1">
        <v>77421.149999999994</v>
      </c>
      <c r="CD278" s="1">
        <v>105719.05</v>
      </c>
      <c r="CE278" s="1">
        <v>215819.74</v>
      </c>
      <c r="CF278" s="1">
        <v>45792.15</v>
      </c>
      <c r="CG278" s="1">
        <v>145591.19</v>
      </c>
      <c r="CH278" s="1">
        <v>-22332.28</v>
      </c>
      <c r="CI278" s="1">
        <v>108976.2</v>
      </c>
      <c r="CJ278" s="1">
        <v>-18295.53</v>
      </c>
      <c r="CK278" s="1">
        <v>152244.04999999999</v>
      </c>
      <c r="CL278" s="1">
        <v>51818.559999999998</v>
      </c>
      <c r="CM278" s="1">
        <v>-477.65</v>
      </c>
      <c r="CN278" s="1">
        <v>63201.33</v>
      </c>
      <c r="CO278" s="1">
        <v>63967.27</v>
      </c>
      <c r="CP278" s="1">
        <v>146968.07</v>
      </c>
      <c r="CQ278" s="1">
        <v>133346.23999999999</v>
      </c>
      <c r="CR278" s="1">
        <v>33889.83</v>
      </c>
      <c r="CS278" s="1">
        <v>158769</v>
      </c>
      <c r="CT278" s="1">
        <v>125590.96</v>
      </c>
      <c r="CU278" s="1">
        <v>36852.94</v>
      </c>
      <c r="CV278" s="1">
        <v>2454.86</v>
      </c>
      <c r="CW278" s="1">
        <v>155779.88</v>
      </c>
      <c r="CX278" s="1">
        <v>116694.63</v>
      </c>
      <c r="CY278" s="1">
        <v>15407.74</v>
      </c>
      <c r="CZ278" s="1">
        <v>59066.41</v>
      </c>
      <c r="DA278" s="1">
        <v>123394.41</v>
      </c>
      <c r="DB278" s="1">
        <v>62305.55</v>
      </c>
      <c r="DC278" s="1">
        <v>0</v>
      </c>
      <c r="DD278" s="1">
        <v>0</v>
      </c>
      <c r="DE278" s="1">
        <v>0</v>
      </c>
      <c r="DF278" s="1">
        <v>0</v>
      </c>
      <c r="DH278" s="6">
        <f t="shared" si="115"/>
        <v>4504021.6100000003</v>
      </c>
    </row>
    <row r="279" spans="1:112" x14ac:dyDescent="0.2">
      <c r="A279" s="5" t="s">
        <v>36</v>
      </c>
      <c r="B279" s="5" t="s">
        <v>7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>
        <v>6418.7820000000002</v>
      </c>
      <c r="AV279" s="1">
        <v>8823.3588</v>
      </c>
      <c r="AW279" s="1">
        <v>6742.6767</v>
      </c>
      <c r="AX279" s="1">
        <v>927.53099999999995</v>
      </c>
      <c r="AY279" s="1">
        <v>7406.2196999999996</v>
      </c>
      <c r="AZ279" s="1">
        <v>6462.6570000000002</v>
      </c>
      <c r="BA279" s="1">
        <v>2914.9848000000002</v>
      </c>
      <c r="BB279" s="1">
        <v>-1236.1094999999998</v>
      </c>
      <c r="BC279" s="1">
        <v>2259.2132999999999</v>
      </c>
      <c r="BD279" s="1">
        <v>2508.2145</v>
      </c>
      <c r="BE279" s="1">
        <v>1452.9096</v>
      </c>
      <c r="BF279" s="1">
        <v>5314.7520000000004</v>
      </c>
      <c r="BG279" s="1">
        <v>19045.102500000001</v>
      </c>
      <c r="BH279" s="1">
        <v>11857.4496</v>
      </c>
      <c r="BI279" s="1">
        <v>6827.025599999999</v>
      </c>
      <c r="BJ279" s="1">
        <v>13623.636599999998</v>
      </c>
      <c r="BK279" s="1">
        <v>11102.8905</v>
      </c>
      <c r="BL279" s="1">
        <v>7456.8068999999996</v>
      </c>
      <c r="BM279" s="1">
        <v>14523.129000000001</v>
      </c>
      <c r="BN279" s="1">
        <v>2025.2943</v>
      </c>
      <c r="BO279" s="1">
        <v>2028.2022000000002</v>
      </c>
      <c r="BP279" s="1">
        <v>-832.88339999999994</v>
      </c>
      <c r="BQ279" s="1">
        <v>1807.8129000000001</v>
      </c>
      <c r="BR279" s="1">
        <v>3370.7267999999995</v>
      </c>
      <c r="BS279" s="1">
        <v>15311.5659</v>
      </c>
      <c r="BT279" s="1">
        <v>15741.568800000001</v>
      </c>
      <c r="BU279" s="1">
        <v>4489.8696</v>
      </c>
      <c r="BV279" s="1">
        <v>13868.828099999999</v>
      </c>
      <c r="BW279" s="1">
        <v>8528.0048999999999</v>
      </c>
      <c r="BX279" s="1">
        <v>-3456.5174999999999</v>
      </c>
      <c r="BY279" s="1">
        <v>8209.3842000000004</v>
      </c>
      <c r="BZ279" s="1">
        <v>-1053.0009</v>
      </c>
      <c r="CA279" s="1">
        <v>4633.7696999999998</v>
      </c>
      <c r="CB279" s="1">
        <v>1861.1712</v>
      </c>
      <c r="CC279" s="1">
        <v>6967.9034999999994</v>
      </c>
      <c r="CD279" s="1">
        <v>9514.7145</v>
      </c>
      <c r="CE279" s="1">
        <v>19423.776599999997</v>
      </c>
      <c r="CF279" s="1">
        <v>4121.2934999999998</v>
      </c>
      <c r="CG279" s="1">
        <v>13103.2071</v>
      </c>
      <c r="CH279" s="1">
        <v>-2009.9051999999999</v>
      </c>
      <c r="CI279" s="1">
        <v>9807.8580000000002</v>
      </c>
      <c r="CJ279" s="1">
        <v>-1646.5976999999998</v>
      </c>
      <c r="CK279" s="1">
        <v>13701.964499999998</v>
      </c>
      <c r="CL279" s="1">
        <v>4663.6704</v>
      </c>
      <c r="CM279" s="1">
        <v>-42.988499999999995</v>
      </c>
      <c r="CN279" s="1">
        <v>5688.1197000000002</v>
      </c>
      <c r="CO279" s="1">
        <v>5757.0542999999998</v>
      </c>
      <c r="CP279" s="1">
        <v>13227.1263</v>
      </c>
      <c r="CQ279" s="1">
        <v>12001.161599999999</v>
      </c>
      <c r="CR279" s="1">
        <v>3050.0846999999999</v>
      </c>
      <c r="CS279" s="1">
        <v>14289.21</v>
      </c>
      <c r="CT279" s="1">
        <v>11303.186400000001</v>
      </c>
      <c r="CU279" s="1">
        <v>3316.7646</v>
      </c>
      <c r="CV279" s="1">
        <v>220.9374</v>
      </c>
      <c r="CW279" s="1">
        <v>14020.189200000001</v>
      </c>
      <c r="CX279" s="1">
        <v>10502.5167</v>
      </c>
      <c r="CY279" s="1">
        <v>1386.6966</v>
      </c>
      <c r="CZ279" s="1">
        <v>5315.9769000000006</v>
      </c>
      <c r="DA279" s="1">
        <v>11105.4969</v>
      </c>
      <c r="DB279" s="1">
        <v>5607.4994999999999</v>
      </c>
      <c r="DC279" s="1">
        <v>0</v>
      </c>
      <c r="DD279" s="1">
        <v>0</v>
      </c>
      <c r="DE279" s="1">
        <v>0</v>
      </c>
      <c r="DF279" s="1">
        <v>0</v>
      </c>
      <c r="DH279" s="6">
        <f t="shared" si="115"/>
        <v>405361.94490000012</v>
      </c>
    </row>
    <row r="280" spans="1:112" x14ac:dyDescent="0.2">
      <c r="A280" s="5" t="str">
        <f>A279</f>
        <v>SD</v>
      </c>
      <c r="B280" s="5" t="s">
        <v>41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H280" s="6">
        <f t="shared" si="115"/>
        <v>0</v>
      </c>
    </row>
    <row r="281" spans="1:112" x14ac:dyDescent="0.2">
      <c r="A281" s="5" t="s">
        <v>37</v>
      </c>
      <c r="B281" s="5" t="s">
        <v>4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>
        <v>58896564</v>
      </c>
      <c r="AN281" s="1">
        <v>265778306</v>
      </c>
      <c r="AO281" s="1">
        <v>304066245</v>
      </c>
      <c r="AP281" s="1">
        <v>236432524</v>
      </c>
      <c r="AQ281" s="1">
        <v>226963573</v>
      </c>
      <c r="AR281" s="1">
        <v>234943435</v>
      </c>
      <c r="AS281" s="1">
        <v>161901955</v>
      </c>
      <c r="AT281" s="1">
        <v>182418252</v>
      </c>
      <c r="AU281" s="1">
        <v>293851531</v>
      </c>
      <c r="AV281" s="1">
        <v>427320306</v>
      </c>
      <c r="AW281" s="1">
        <v>402621132</v>
      </c>
      <c r="AX281" s="1">
        <v>426596891</v>
      </c>
      <c r="AY281" s="1">
        <v>485544417</v>
      </c>
      <c r="AZ281" s="1">
        <v>401889135</v>
      </c>
      <c r="BA281" s="1">
        <v>469484017</v>
      </c>
      <c r="BB281" s="1">
        <v>399478366</v>
      </c>
      <c r="BC281" s="1">
        <v>351452931</v>
      </c>
      <c r="BD281" s="1">
        <v>295235271</v>
      </c>
      <c r="BE281" s="1">
        <v>266001583</v>
      </c>
      <c r="BF281" s="1">
        <v>284671331</v>
      </c>
      <c r="BG281" s="1">
        <v>411273323</v>
      </c>
      <c r="BH281" s="1">
        <v>528029938</v>
      </c>
      <c r="BI281" s="1">
        <v>518818987</v>
      </c>
      <c r="BJ281" s="1">
        <v>503075150</v>
      </c>
      <c r="BK281" s="1">
        <v>513154592</v>
      </c>
      <c r="BL281" s="1">
        <v>433807108</v>
      </c>
      <c r="BM281" s="1">
        <v>511614541</v>
      </c>
      <c r="BN281" s="1">
        <v>425982859</v>
      </c>
      <c r="BO281" s="1">
        <v>403719160</v>
      </c>
      <c r="BP281" s="1">
        <v>325455052</v>
      </c>
      <c r="BQ281" s="1">
        <v>293611789</v>
      </c>
      <c r="BR281" s="1">
        <v>319005943</v>
      </c>
      <c r="BS281" s="1">
        <v>520304185</v>
      </c>
      <c r="BT281" s="1">
        <v>571354817</v>
      </c>
      <c r="BU281" s="1">
        <v>638831057</v>
      </c>
      <c r="BV281" s="1">
        <v>633181758</v>
      </c>
      <c r="BW281" s="1">
        <v>652879751</v>
      </c>
      <c r="BX281" s="1">
        <v>545068429</v>
      </c>
      <c r="BY281" s="1">
        <v>635593137</v>
      </c>
      <c r="BZ281" s="1">
        <v>563495540</v>
      </c>
      <c r="CA281" s="1">
        <v>505594449</v>
      </c>
      <c r="CB281" s="1">
        <v>415360427</v>
      </c>
      <c r="CC281" s="1">
        <v>377641472</v>
      </c>
      <c r="CD281" s="1">
        <v>416689216</v>
      </c>
      <c r="CE281" s="1">
        <v>622060604</v>
      </c>
      <c r="CF281" s="1">
        <v>696103392</v>
      </c>
      <c r="CG281" s="1">
        <v>760965450</v>
      </c>
      <c r="CH281" s="1">
        <v>734380460</v>
      </c>
      <c r="CI281" s="1">
        <v>736667692</v>
      </c>
      <c r="CJ281" s="1">
        <v>556836877</v>
      </c>
      <c r="CK281" s="1">
        <v>689665044</v>
      </c>
      <c r="CL281" s="1">
        <v>609713988</v>
      </c>
      <c r="CM281" s="1">
        <v>595041428</v>
      </c>
      <c r="CN281" s="1">
        <v>477848533</v>
      </c>
      <c r="CO281" s="1">
        <v>429272341</v>
      </c>
      <c r="CP281" s="1">
        <v>510179553</v>
      </c>
      <c r="CQ281" s="1">
        <v>737184002</v>
      </c>
      <c r="CR281" s="1">
        <v>831567565</v>
      </c>
      <c r="CS281" s="1">
        <v>798878673</v>
      </c>
      <c r="CT281" s="1">
        <v>710948200</v>
      </c>
      <c r="CU281" s="1">
        <v>687946666</v>
      </c>
      <c r="CV281" s="1">
        <v>574599140</v>
      </c>
      <c r="CW281" s="1">
        <v>672838454</v>
      </c>
      <c r="CX281" s="1">
        <v>613893171</v>
      </c>
      <c r="CY281" s="1">
        <v>581335802</v>
      </c>
      <c r="CZ281" s="1">
        <v>589186483</v>
      </c>
      <c r="DA281" s="1">
        <v>609159469</v>
      </c>
      <c r="DB281" s="1">
        <v>532277071</v>
      </c>
      <c r="DC281" s="1">
        <v>0</v>
      </c>
      <c r="DD281" s="1">
        <v>0</v>
      </c>
      <c r="DE281" s="1">
        <v>0</v>
      </c>
      <c r="DF281" s="1">
        <v>0</v>
      </c>
      <c r="DH281" s="6">
        <f t="shared" si="115"/>
        <v>33197640503</v>
      </c>
    </row>
    <row r="282" spans="1:112" x14ac:dyDescent="0.2">
      <c r="A282" s="5" t="s">
        <v>37</v>
      </c>
      <c r="B282" s="5" t="s">
        <v>42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>
        <v>58896564</v>
      </c>
      <c r="AN282" s="1">
        <v>265778306</v>
      </c>
      <c r="AO282" s="1">
        <v>304066245</v>
      </c>
      <c r="AP282" s="1">
        <v>236432524</v>
      </c>
      <c r="AQ282" s="1">
        <v>226963573</v>
      </c>
      <c r="AR282" s="1">
        <v>234943435</v>
      </c>
      <c r="AS282" s="1">
        <v>161901955</v>
      </c>
      <c r="AT282" s="1">
        <v>182418252</v>
      </c>
      <c r="AU282" s="1">
        <v>293851531</v>
      </c>
      <c r="AV282" s="1">
        <v>427320306</v>
      </c>
      <c r="AW282" s="1">
        <v>402621132</v>
      </c>
      <c r="AX282" s="1">
        <v>426596891</v>
      </c>
      <c r="AY282" s="1">
        <v>485544417</v>
      </c>
      <c r="AZ282" s="1">
        <v>401889135</v>
      </c>
      <c r="BA282" s="1">
        <v>469484017</v>
      </c>
      <c r="BB282" s="1">
        <v>399478366</v>
      </c>
      <c r="BC282" s="1">
        <v>351452931</v>
      </c>
      <c r="BD282" s="1">
        <v>295235271</v>
      </c>
      <c r="BE282" s="1">
        <v>266001583</v>
      </c>
      <c r="BF282" s="1">
        <v>284671331</v>
      </c>
      <c r="BG282" s="1">
        <v>411273323</v>
      </c>
      <c r="BH282" s="1">
        <v>528029938</v>
      </c>
      <c r="BI282" s="1">
        <v>518818987</v>
      </c>
      <c r="BJ282" s="1">
        <v>503075150</v>
      </c>
      <c r="BK282" s="1">
        <v>510982033</v>
      </c>
      <c r="BL282" s="1">
        <v>430252600</v>
      </c>
      <c r="BM282" s="1">
        <v>507025619</v>
      </c>
      <c r="BN282" s="1">
        <v>422465093</v>
      </c>
      <c r="BO282" s="1">
        <v>399962895</v>
      </c>
      <c r="BP282" s="1">
        <v>322073164</v>
      </c>
      <c r="BQ282" s="1">
        <v>290999143</v>
      </c>
      <c r="BR282" s="1">
        <v>315647877</v>
      </c>
      <c r="BS282" s="1">
        <v>514700400</v>
      </c>
      <c r="BT282" s="1">
        <v>565569001</v>
      </c>
      <c r="BU282" s="1">
        <v>632233093</v>
      </c>
      <c r="BV282" s="1">
        <v>625516403</v>
      </c>
      <c r="BW282" s="1">
        <v>646246293</v>
      </c>
      <c r="BX282" s="1">
        <v>540138289</v>
      </c>
      <c r="BY282" s="1">
        <v>629663266</v>
      </c>
      <c r="BZ282" s="1">
        <v>559312912</v>
      </c>
      <c r="CA282" s="1">
        <v>501350129</v>
      </c>
      <c r="CB282" s="1">
        <v>412978852</v>
      </c>
      <c r="CC282" s="1">
        <v>376011459</v>
      </c>
      <c r="CD282" s="1">
        <v>414765842</v>
      </c>
      <c r="CE282" s="1">
        <v>618318210</v>
      </c>
      <c r="CF282" s="1">
        <v>692177355</v>
      </c>
      <c r="CG282" s="1">
        <v>756761150</v>
      </c>
      <c r="CH282" s="1">
        <v>729487117</v>
      </c>
      <c r="CI282" s="1">
        <v>730489687</v>
      </c>
      <c r="CJ282" s="1">
        <v>553017829</v>
      </c>
      <c r="CK282" s="1">
        <v>683133146</v>
      </c>
      <c r="CL282" s="1">
        <v>603711942</v>
      </c>
      <c r="CM282" s="1">
        <v>589882444</v>
      </c>
      <c r="CN282" s="1">
        <v>472780185</v>
      </c>
      <c r="CO282" s="1">
        <v>427155386</v>
      </c>
      <c r="CP282" s="1">
        <v>506278964</v>
      </c>
      <c r="CQ282" s="1">
        <v>731540895</v>
      </c>
      <c r="CR282" s="1">
        <v>824006856</v>
      </c>
      <c r="CS282" s="1">
        <v>793571800</v>
      </c>
      <c r="CT282" s="1">
        <v>705285402</v>
      </c>
      <c r="CU282" s="1">
        <v>683940659</v>
      </c>
      <c r="CV282" s="1">
        <v>571557807</v>
      </c>
      <c r="CW282" s="1">
        <v>666405392</v>
      </c>
      <c r="CX282" s="1">
        <v>608532035</v>
      </c>
      <c r="CY282" s="1">
        <v>574584903</v>
      </c>
      <c r="CZ282" s="1">
        <v>585997479</v>
      </c>
      <c r="DA282" s="1">
        <v>606341378</v>
      </c>
      <c r="DB282" s="1">
        <v>528908124</v>
      </c>
      <c r="DC282" s="1">
        <v>0</v>
      </c>
      <c r="DD282" s="1">
        <v>0</v>
      </c>
      <c r="DE282" s="1">
        <v>0</v>
      </c>
      <c r="DF282" s="1">
        <v>0</v>
      </c>
      <c r="DH282" s="6">
        <f t="shared" si="115"/>
        <v>32998505671</v>
      </c>
    </row>
    <row r="283" spans="1:112" x14ac:dyDescent="0.2">
      <c r="A283" s="5" t="s">
        <v>37</v>
      </c>
      <c r="B283" s="5" t="s">
        <v>43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>
        <f t="shared" ref="AM283:BO283" si="131">AM281-AM282</f>
        <v>0</v>
      </c>
      <c r="AN283" s="1">
        <f t="shared" si="131"/>
        <v>0</v>
      </c>
      <c r="AO283" s="1">
        <f t="shared" si="131"/>
        <v>0</v>
      </c>
      <c r="AP283" s="1">
        <f t="shared" si="131"/>
        <v>0</v>
      </c>
      <c r="AQ283" s="1">
        <f t="shared" si="131"/>
        <v>0</v>
      </c>
      <c r="AR283" s="1">
        <f t="shared" si="131"/>
        <v>0</v>
      </c>
      <c r="AS283" s="1">
        <f t="shared" si="131"/>
        <v>0</v>
      </c>
      <c r="AT283" s="1">
        <f t="shared" si="131"/>
        <v>0</v>
      </c>
      <c r="AU283" s="1">
        <f t="shared" si="131"/>
        <v>0</v>
      </c>
      <c r="AV283" s="1">
        <f t="shared" si="131"/>
        <v>0</v>
      </c>
      <c r="AW283" s="1">
        <f t="shared" si="131"/>
        <v>0</v>
      </c>
      <c r="AX283" s="1">
        <f t="shared" si="131"/>
        <v>0</v>
      </c>
      <c r="AY283" s="1">
        <f t="shared" si="131"/>
        <v>0</v>
      </c>
      <c r="AZ283" s="1">
        <f t="shared" si="131"/>
        <v>0</v>
      </c>
      <c r="BA283" s="1">
        <f t="shared" si="131"/>
        <v>0</v>
      </c>
      <c r="BB283" s="1">
        <f t="shared" si="131"/>
        <v>0</v>
      </c>
      <c r="BC283" s="1">
        <f t="shared" si="131"/>
        <v>0</v>
      </c>
      <c r="BD283" s="1">
        <f t="shared" si="131"/>
        <v>0</v>
      </c>
      <c r="BE283" s="1">
        <f t="shared" si="131"/>
        <v>0</v>
      </c>
      <c r="BF283" s="1">
        <f t="shared" si="131"/>
        <v>0</v>
      </c>
      <c r="BG283" s="1">
        <f t="shared" si="131"/>
        <v>0</v>
      </c>
      <c r="BH283" s="1">
        <f t="shared" si="131"/>
        <v>0</v>
      </c>
      <c r="BI283" s="1">
        <f t="shared" si="131"/>
        <v>0</v>
      </c>
      <c r="BJ283" s="1">
        <f t="shared" si="131"/>
        <v>0</v>
      </c>
      <c r="BK283" s="1">
        <f t="shared" si="131"/>
        <v>2172559</v>
      </c>
      <c r="BL283" s="1">
        <f t="shared" si="131"/>
        <v>3554508</v>
      </c>
      <c r="BM283" s="1">
        <f t="shared" si="131"/>
        <v>4588922</v>
      </c>
      <c r="BN283" s="1">
        <f t="shared" si="131"/>
        <v>3517766</v>
      </c>
      <c r="BO283" s="1">
        <f t="shared" si="131"/>
        <v>3756265</v>
      </c>
      <c r="BP283" s="1">
        <f>BP281-BP282</f>
        <v>3381888</v>
      </c>
      <c r="BQ283" s="1">
        <f t="shared" ref="BQ283:CC283" si="132">BQ281-BQ282</f>
        <v>2612646</v>
      </c>
      <c r="BR283" s="1">
        <f t="shared" si="132"/>
        <v>3358066</v>
      </c>
      <c r="BS283" s="1">
        <f t="shared" si="132"/>
        <v>5603785</v>
      </c>
      <c r="BT283" s="1">
        <f t="shared" si="132"/>
        <v>5785816</v>
      </c>
      <c r="BU283" s="1">
        <f t="shared" si="132"/>
        <v>6597964</v>
      </c>
      <c r="BV283" s="1">
        <f t="shared" si="132"/>
        <v>7665355</v>
      </c>
      <c r="BW283" s="1">
        <f t="shared" si="132"/>
        <v>6633458</v>
      </c>
      <c r="BX283" s="1">
        <f t="shared" si="132"/>
        <v>4930140</v>
      </c>
      <c r="BY283" s="1">
        <f t="shared" si="132"/>
        <v>5929871</v>
      </c>
      <c r="BZ283" s="1">
        <f t="shared" si="132"/>
        <v>4182628</v>
      </c>
      <c r="CA283" s="1">
        <f t="shared" si="132"/>
        <v>4244320</v>
      </c>
      <c r="CB283" s="1">
        <f t="shared" si="132"/>
        <v>2381575</v>
      </c>
      <c r="CC283" s="1">
        <f t="shared" si="132"/>
        <v>1630013</v>
      </c>
      <c r="CD283" s="1">
        <f>CD281-CD282</f>
        <v>1923374</v>
      </c>
      <c r="CE283" s="1">
        <f>CE281-CE282</f>
        <v>3742394</v>
      </c>
      <c r="CF283" s="1">
        <f>CF281-CF282</f>
        <v>3926037</v>
      </c>
      <c r="CG283" s="1">
        <f>CG281-CG282</f>
        <v>4204300</v>
      </c>
      <c r="CH283" s="1">
        <f>CH281-CH282</f>
        <v>4893343</v>
      </c>
      <c r="CI283" s="1">
        <f t="shared" ref="CI283:DF283" si="133">CI281-CI282</f>
        <v>6178005</v>
      </c>
      <c r="CJ283" s="1">
        <f t="shared" si="133"/>
        <v>3819048</v>
      </c>
      <c r="CK283" s="1">
        <f t="shared" si="133"/>
        <v>6531898</v>
      </c>
      <c r="CL283" s="1">
        <f t="shared" si="133"/>
        <v>6002046</v>
      </c>
      <c r="CM283" s="1">
        <f t="shared" si="133"/>
        <v>5158984</v>
      </c>
      <c r="CN283" s="1">
        <f t="shared" si="133"/>
        <v>5068348</v>
      </c>
      <c r="CO283" s="1">
        <f t="shared" si="133"/>
        <v>2116955</v>
      </c>
      <c r="CP283" s="1">
        <f t="shared" si="133"/>
        <v>3900589</v>
      </c>
      <c r="CQ283" s="1">
        <f t="shared" si="133"/>
        <v>5643107</v>
      </c>
      <c r="CR283" s="1">
        <f t="shared" si="133"/>
        <v>7560709</v>
      </c>
      <c r="CS283" s="1">
        <f t="shared" si="133"/>
        <v>5306873</v>
      </c>
      <c r="CT283" s="1">
        <f t="shared" si="133"/>
        <v>5662798</v>
      </c>
      <c r="CU283" s="1">
        <f t="shared" si="133"/>
        <v>4006007</v>
      </c>
      <c r="CV283" s="1">
        <f t="shared" si="133"/>
        <v>3041333</v>
      </c>
      <c r="CW283" s="1">
        <f t="shared" si="133"/>
        <v>6433062</v>
      </c>
      <c r="CX283" s="1">
        <f t="shared" si="133"/>
        <v>5361136</v>
      </c>
      <c r="CY283" s="1">
        <f t="shared" si="133"/>
        <v>6750899</v>
      </c>
      <c r="CZ283" s="1">
        <f t="shared" si="133"/>
        <v>3189004</v>
      </c>
      <c r="DA283" s="1">
        <f t="shared" si="133"/>
        <v>2818091</v>
      </c>
      <c r="DB283" s="1">
        <f t="shared" si="133"/>
        <v>3368947</v>
      </c>
      <c r="DC283" s="1">
        <f t="shared" si="133"/>
        <v>0</v>
      </c>
      <c r="DD283" s="1">
        <f t="shared" si="133"/>
        <v>0</v>
      </c>
      <c r="DE283" s="1">
        <f t="shared" si="133"/>
        <v>0</v>
      </c>
      <c r="DF283" s="1">
        <f t="shared" si="133"/>
        <v>0</v>
      </c>
      <c r="DH283" s="6">
        <f t="shared" si="115"/>
        <v>199134832</v>
      </c>
    </row>
    <row r="284" spans="1:112" x14ac:dyDescent="0.2">
      <c r="A284" s="5" t="s">
        <v>37</v>
      </c>
      <c r="B284" s="5" t="s">
        <v>5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>
        <v>3586077</v>
      </c>
      <c r="AN284" s="1">
        <v>12238780</v>
      </c>
      <c r="AO284" s="1">
        <v>26573877</v>
      </c>
      <c r="AP284" s="1">
        <v>19442317</v>
      </c>
      <c r="AQ284" s="1">
        <v>23173549</v>
      </c>
      <c r="AR284" s="1">
        <v>22006296</v>
      </c>
      <c r="AS284" s="1">
        <v>19965556</v>
      </c>
      <c r="AT284" s="1">
        <v>17967427</v>
      </c>
      <c r="AU284" s="1">
        <v>30929243</v>
      </c>
      <c r="AV284" s="1">
        <v>30160385</v>
      </c>
      <c r="AW284" s="1">
        <v>48337037</v>
      </c>
      <c r="AX284" s="1">
        <v>31515015</v>
      </c>
      <c r="AY284" s="1">
        <v>39050067</v>
      </c>
      <c r="AZ284" s="1">
        <v>27498133</v>
      </c>
      <c r="BA284" s="1">
        <v>33700016</v>
      </c>
      <c r="BB284" s="1">
        <v>36275264</v>
      </c>
      <c r="BC284" s="1">
        <v>42537524</v>
      </c>
      <c r="BD284" s="1">
        <v>25965182</v>
      </c>
      <c r="BE284" s="1">
        <v>26024408</v>
      </c>
      <c r="BF284" s="1">
        <v>36978897</v>
      </c>
      <c r="BG284" s="1">
        <v>53821382</v>
      </c>
      <c r="BH284" s="1">
        <v>51164199</v>
      </c>
      <c r="BI284" s="1">
        <v>57531255</v>
      </c>
      <c r="BJ284" s="1">
        <v>50687278</v>
      </c>
      <c r="BK284" s="1">
        <v>49721328</v>
      </c>
      <c r="BL284" s="1">
        <v>39766908</v>
      </c>
      <c r="BM284" s="1">
        <v>55258910</v>
      </c>
      <c r="BN284" s="1">
        <v>45121878</v>
      </c>
      <c r="BO284" s="1">
        <v>48144551</v>
      </c>
      <c r="BP284" s="1">
        <v>32668025</v>
      </c>
      <c r="BQ284" s="1">
        <v>32471396</v>
      </c>
      <c r="BR284" s="1">
        <v>32359889</v>
      </c>
      <c r="BS284" s="1">
        <v>54081412</v>
      </c>
      <c r="BT284" s="1">
        <v>63996952</v>
      </c>
      <c r="BU284" s="1">
        <v>43003244</v>
      </c>
      <c r="BV284" s="1">
        <v>63607011</v>
      </c>
      <c r="BW284" s="1">
        <v>74337291</v>
      </c>
      <c r="BX284" s="1">
        <v>50040797</v>
      </c>
      <c r="BY284" s="1">
        <v>47694659</v>
      </c>
      <c r="BZ284" s="1">
        <v>60594584</v>
      </c>
      <c r="CA284" s="1">
        <v>59966998</v>
      </c>
      <c r="CB284" s="1">
        <v>45490748</v>
      </c>
      <c r="CC284" s="1">
        <v>44966093</v>
      </c>
      <c r="CD284" s="1">
        <v>40143865</v>
      </c>
      <c r="CE284" s="1">
        <v>71538700</v>
      </c>
      <c r="CF284" s="1">
        <v>54273253</v>
      </c>
      <c r="CG284" s="1">
        <v>86351240</v>
      </c>
      <c r="CH284" s="1">
        <v>49554043</v>
      </c>
      <c r="CI284" s="1">
        <v>87381242</v>
      </c>
      <c r="CJ284" s="1">
        <v>66806615</v>
      </c>
      <c r="CK284" s="1">
        <v>50678283</v>
      </c>
      <c r="CL284" s="1">
        <v>62793223</v>
      </c>
      <c r="CM284" s="1">
        <v>72401035</v>
      </c>
      <c r="CN284" s="1">
        <v>60757217</v>
      </c>
      <c r="CO284" s="1">
        <v>49425275</v>
      </c>
      <c r="CP284" s="1">
        <v>62880184</v>
      </c>
      <c r="CQ284" s="1">
        <v>69740005</v>
      </c>
      <c r="CR284" s="1">
        <v>80564653</v>
      </c>
      <c r="CS284" s="1">
        <v>99204716</v>
      </c>
      <c r="CT284" s="1">
        <v>83417759</v>
      </c>
      <c r="CU284" s="1">
        <v>79541568</v>
      </c>
      <c r="CV284" s="1">
        <v>57067499</v>
      </c>
      <c r="CW284" s="1">
        <v>63823991</v>
      </c>
      <c r="CX284" s="1">
        <v>69671591</v>
      </c>
      <c r="CY284" s="1">
        <v>67638446</v>
      </c>
      <c r="CZ284" s="1">
        <v>59897936</v>
      </c>
      <c r="DA284" s="1">
        <v>59385673</v>
      </c>
      <c r="DB284" s="1">
        <v>51275709</v>
      </c>
      <c r="DC284" s="1">
        <v>0</v>
      </c>
      <c r="DD284" s="1">
        <v>0</v>
      </c>
      <c r="DE284" s="1">
        <v>0</v>
      </c>
      <c r="DF284" s="1">
        <v>0</v>
      </c>
      <c r="DH284" s="6">
        <f t="shared" si="115"/>
        <v>3366635559</v>
      </c>
    </row>
    <row r="285" spans="1:112" x14ac:dyDescent="0.2">
      <c r="A285" s="5" t="s">
        <v>37</v>
      </c>
      <c r="B285" s="5" t="s">
        <v>44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>
        <v>3586077</v>
      </c>
      <c r="AN285" s="1">
        <v>12238780</v>
      </c>
      <c r="AO285" s="1">
        <v>26573877</v>
      </c>
      <c r="AP285" s="1">
        <v>19442317</v>
      </c>
      <c r="AQ285" s="1">
        <v>23173549</v>
      </c>
      <c r="AR285" s="1">
        <v>22006296</v>
      </c>
      <c r="AS285" s="1">
        <v>19965556</v>
      </c>
      <c r="AT285" s="1">
        <v>17967427</v>
      </c>
      <c r="AU285" s="1">
        <v>30929243</v>
      </c>
      <c r="AV285" s="1">
        <v>30160385</v>
      </c>
      <c r="AW285" s="1">
        <v>48337037</v>
      </c>
      <c r="AX285" s="1">
        <v>31515015</v>
      </c>
      <c r="AY285" s="1">
        <v>39050067</v>
      </c>
      <c r="AZ285" s="1">
        <v>27498133</v>
      </c>
      <c r="BA285" s="1">
        <v>33700016</v>
      </c>
      <c r="BB285" s="1">
        <v>36275264</v>
      </c>
      <c r="BC285" s="1">
        <v>42537524</v>
      </c>
      <c r="BD285" s="1">
        <v>25965182</v>
      </c>
      <c r="BE285" s="1">
        <v>26024408</v>
      </c>
      <c r="BF285" s="1">
        <v>36978897</v>
      </c>
      <c r="BG285" s="1">
        <v>53821382</v>
      </c>
      <c r="BH285" s="1">
        <v>51164199</v>
      </c>
      <c r="BI285" s="1">
        <v>57531255</v>
      </c>
      <c r="BJ285" s="1">
        <v>50687278</v>
      </c>
      <c r="BK285" s="1">
        <v>49393812</v>
      </c>
      <c r="BL285" s="1">
        <v>39681275</v>
      </c>
      <c r="BM285" s="1">
        <v>54668833</v>
      </c>
      <c r="BN285" s="1">
        <v>44763997</v>
      </c>
      <c r="BO285" s="1">
        <v>47423564</v>
      </c>
      <c r="BP285" s="1">
        <v>32400908</v>
      </c>
      <c r="BQ285" s="1">
        <v>31873344</v>
      </c>
      <c r="BR285" s="1">
        <v>31925819</v>
      </c>
      <c r="BS285" s="1">
        <v>53185131</v>
      </c>
      <c r="BT285" s="1">
        <v>63134152</v>
      </c>
      <c r="BU285" s="1">
        <v>42530667</v>
      </c>
      <c r="BV285" s="1">
        <v>62635709</v>
      </c>
      <c r="BW285" s="1">
        <v>73402939</v>
      </c>
      <c r="BX285" s="1">
        <v>49715723</v>
      </c>
      <c r="BY285" s="1">
        <v>47152121</v>
      </c>
      <c r="BZ285" s="1">
        <v>60438989</v>
      </c>
      <c r="CA285" s="1">
        <v>59534844</v>
      </c>
      <c r="CB285" s="1">
        <v>45234402</v>
      </c>
      <c r="CC285" s="1">
        <v>44730725</v>
      </c>
      <c r="CD285" s="1">
        <v>39705816</v>
      </c>
      <c r="CE285" s="1">
        <v>70940474</v>
      </c>
      <c r="CF285" s="1">
        <v>54018017</v>
      </c>
      <c r="CG285" s="1">
        <v>85664368</v>
      </c>
      <c r="CH285" s="1">
        <v>49530477</v>
      </c>
      <c r="CI285" s="1">
        <v>86508562</v>
      </c>
      <c r="CJ285" s="1">
        <v>66582056</v>
      </c>
      <c r="CK285" s="1">
        <v>49934071</v>
      </c>
      <c r="CL285" s="1">
        <v>63230826</v>
      </c>
      <c r="CM285" s="1">
        <v>71844061</v>
      </c>
      <c r="CN285" s="1">
        <v>61060432</v>
      </c>
      <c r="CO285" s="1">
        <v>48876735</v>
      </c>
      <c r="CP285" s="1">
        <v>61922296</v>
      </c>
      <c r="CQ285" s="1">
        <v>68805304</v>
      </c>
      <c r="CR285" s="1">
        <v>79751850</v>
      </c>
      <c r="CS285" s="1">
        <v>98982076</v>
      </c>
      <c r="CT285" s="1">
        <v>83267790</v>
      </c>
      <c r="CU285" s="1">
        <v>79191093</v>
      </c>
      <c r="CV285" s="1">
        <v>56704875</v>
      </c>
      <c r="CW285" s="1">
        <v>63477447</v>
      </c>
      <c r="CX285" s="1">
        <v>70038069</v>
      </c>
      <c r="CY285" s="1">
        <v>67150233</v>
      </c>
      <c r="CZ285" s="1">
        <v>59617118</v>
      </c>
      <c r="DA285" s="1">
        <v>59080530</v>
      </c>
      <c r="DB285" s="1">
        <v>50531459</v>
      </c>
      <c r="DC285" s="1">
        <v>0</v>
      </c>
      <c r="DD285" s="1">
        <v>0</v>
      </c>
      <c r="DE285" s="1">
        <v>0</v>
      </c>
      <c r="DF285" s="1">
        <v>0</v>
      </c>
      <c r="DH285" s="6">
        <f t="shared" si="115"/>
        <v>3347372153</v>
      </c>
    </row>
    <row r="286" spans="1:112" x14ac:dyDescent="0.2">
      <c r="A286" s="5" t="s">
        <v>37</v>
      </c>
      <c r="B286" s="5" t="s">
        <v>45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>
        <f t="shared" ref="AM286:BO286" si="134">AM284-AM285</f>
        <v>0</v>
      </c>
      <c r="AN286" s="1">
        <f t="shared" si="134"/>
        <v>0</v>
      </c>
      <c r="AO286" s="1">
        <f t="shared" si="134"/>
        <v>0</v>
      </c>
      <c r="AP286" s="1">
        <f t="shared" si="134"/>
        <v>0</v>
      </c>
      <c r="AQ286" s="1">
        <f t="shared" si="134"/>
        <v>0</v>
      </c>
      <c r="AR286" s="1">
        <f t="shared" si="134"/>
        <v>0</v>
      </c>
      <c r="AS286" s="1">
        <f t="shared" si="134"/>
        <v>0</v>
      </c>
      <c r="AT286" s="1">
        <f t="shared" si="134"/>
        <v>0</v>
      </c>
      <c r="AU286" s="1">
        <f t="shared" si="134"/>
        <v>0</v>
      </c>
      <c r="AV286" s="1">
        <f t="shared" si="134"/>
        <v>0</v>
      </c>
      <c r="AW286" s="1">
        <f t="shared" si="134"/>
        <v>0</v>
      </c>
      <c r="AX286" s="1">
        <f t="shared" si="134"/>
        <v>0</v>
      </c>
      <c r="AY286" s="1">
        <f t="shared" si="134"/>
        <v>0</v>
      </c>
      <c r="AZ286" s="1">
        <f t="shared" si="134"/>
        <v>0</v>
      </c>
      <c r="BA286" s="1">
        <f t="shared" si="134"/>
        <v>0</v>
      </c>
      <c r="BB286" s="1">
        <f t="shared" si="134"/>
        <v>0</v>
      </c>
      <c r="BC286" s="1">
        <f t="shared" si="134"/>
        <v>0</v>
      </c>
      <c r="BD286" s="1">
        <f t="shared" si="134"/>
        <v>0</v>
      </c>
      <c r="BE286" s="1">
        <f t="shared" si="134"/>
        <v>0</v>
      </c>
      <c r="BF286" s="1">
        <f t="shared" si="134"/>
        <v>0</v>
      </c>
      <c r="BG286" s="1">
        <f t="shared" si="134"/>
        <v>0</v>
      </c>
      <c r="BH286" s="1">
        <f t="shared" si="134"/>
        <v>0</v>
      </c>
      <c r="BI286" s="1">
        <f t="shared" si="134"/>
        <v>0</v>
      </c>
      <c r="BJ286" s="1">
        <f t="shared" si="134"/>
        <v>0</v>
      </c>
      <c r="BK286" s="1">
        <f t="shared" si="134"/>
        <v>327516</v>
      </c>
      <c r="BL286" s="1">
        <f t="shared" si="134"/>
        <v>85633</v>
      </c>
      <c r="BM286" s="1">
        <f t="shared" si="134"/>
        <v>590077</v>
      </c>
      <c r="BN286" s="1">
        <f t="shared" si="134"/>
        <v>357881</v>
      </c>
      <c r="BO286" s="1">
        <f t="shared" si="134"/>
        <v>720987</v>
      </c>
      <c r="BP286" s="1">
        <f>BP284-BP285</f>
        <v>267117</v>
      </c>
      <c r="BQ286" s="1">
        <f t="shared" ref="BQ286:CC286" si="135">BQ284-BQ285</f>
        <v>598052</v>
      </c>
      <c r="BR286" s="1">
        <f t="shared" si="135"/>
        <v>434070</v>
      </c>
      <c r="BS286" s="1">
        <f t="shared" si="135"/>
        <v>896281</v>
      </c>
      <c r="BT286" s="1">
        <f t="shared" si="135"/>
        <v>862800</v>
      </c>
      <c r="BU286" s="1">
        <f t="shared" si="135"/>
        <v>472577</v>
      </c>
      <c r="BV286" s="1">
        <f t="shared" si="135"/>
        <v>971302</v>
      </c>
      <c r="BW286" s="1">
        <f t="shared" si="135"/>
        <v>934352</v>
      </c>
      <c r="BX286" s="1">
        <f t="shared" si="135"/>
        <v>325074</v>
      </c>
      <c r="BY286" s="1">
        <f t="shared" si="135"/>
        <v>542538</v>
      </c>
      <c r="BZ286" s="1">
        <f t="shared" si="135"/>
        <v>155595</v>
      </c>
      <c r="CA286" s="1">
        <f t="shared" si="135"/>
        <v>432154</v>
      </c>
      <c r="CB286" s="1">
        <f t="shared" si="135"/>
        <v>256346</v>
      </c>
      <c r="CC286" s="1">
        <f t="shared" si="135"/>
        <v>235368</v>
      </c>
      <c r="CD286" s="1">
        <f>CD284-CD285</f>
        <v>438049</v>
      </c>
      <c r="CE286" s="1">
        <f>CE284-CE285</f>
        <v>598226</v>
      </c>
      <c r="CF286" s="1">
        <f>CF284-CF285</f>
        <v>255236</v>
      </c>
      <c r="CG286" s="1">
        <f>CG284-CG285</f>
        <v>686872</v>
      </c>
      <c r="CH286" s="1">
        <f>CH284-CH285</f>
        <v>23566</v>
      </c>
      <c r="CI286" s="1">
        <f t="shared" ref="CI286:DF286" si="136">CI284-CI285</f>
        <v>872680</v>
      </c>
      <c r="CJ286" s="1">
        <f t="shared" si="136"/>
        <v>224559</v>
      </c>
      <c r="CK286" s="1">
        <f t="shared" si="136"/>
        <v>744212</v>
      </c>
      <c r="CL286" s="1">
        <f t="shared" si="136"/>
        <v>-437603</v>
      </c>
      <c r="CM286" s="1">
        <f t="shared" si="136"/>
        <v>556974</v>
      </c>
      <c r="CN286" s="1">
        <f t="shared" si="136"/>
        <v>-303215</v>
      </c>
      <c r="CO286" s="1">
        <f t="shared" si="136"/>
        <v>548540</v>
      </c>
      <c r="CP286" s="1">
        <f t="shared" si="136"/>
        <v>957888</v>
      </c>
      <c r="CQ286" s="1">
        <f t="shared" si="136"/>
        <v>934701</v>
      </c>
      <c r="CR286" s="1">
        <f t="shared" si="136"/>
        <v>812803</v>
      </c>
      <c r="CS286" s="1">
        <f t="shared" si="136"/>
        <v>222640</v>
      </c>
      <c r="CT286" s="1">
        <f t="shared" si="136"/>
        <v>149969</v>
      </c>
      <c r="CU286" s="1">
        <f t="shared" si="136"/>
        <v>350475</v>
      </c>
      <c r="CV286" s="1">
        <f t="shared" si="136"/>
        <v>362624</v>
      </c>
      <c r="CW286" s="1">
        <f t="shared" si="136"/>
        <v>346544</v>
      </c>
      <c r="CX286" s="1">
        <f t="shared" si="136"/>
        <v>-366478</v>
      </c>
      <c r="CY286" s="1">
        <f t="shared" si="136"/>
        <v>488213</v>
      </c>
      <c r="CZ286" s="1">
        <f t="shared" si="136"/>
        <v>280818</v>
      </c>
      <c r="DA286" s="1">
        <f t="shared" si="136"/>
        <v>305143</v>
      </c>
      <c r="DB286" s="1">
        <f t="shared" si="136"/>
        <v>744250</v>
      </c>
      <c r="DC286" s="1">
        <f t="shared" si="136"/>
        <v>0</v>
      </c>
      <c r="DD286" s="1">
        <f t="shared" si="136"/>
        <v>0</v>
      </c>
      <c r="DE286" s="1">
        <f t="shared" si="136"/>
        <v>0</v>
      </c>
      <c r="DF286" s="1">
        <f t="shared" si="136"/>
        <v>0</v>
      </c>
      <c r="DH286" s="6">
        <f t="shared" si="115"/>
        <v>19263406</v>
      </c>
    </row>
    <row r="287" spans="1:112" x14ac:dyDescent="0.2">
      <c r="A287" s="5" t="s">
        <v>37</v>
      </c>
      <c r="B287" s="5" t="s">
        <v>6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>
        <v>264735.40000000002</v>
      </c>
      <c r="AN287" s="1">
        <v>2003959.4</v>
      </c>
      <c r="AO287" s="1">
        <v>7889917.2000000011</v>
      </c>
      <c r="AP287" s="1">
        <v>11014312.133333335</v>
      </c>
      <c r="AQ287" s="1">
        <v>15874104.6</v>
      </c>
      <c r="AR287" s="1">
        <v>15159969.266666668</v>
      </c>
      <c r="AS287" s="1">
        <v>12429550.466666667</v>
      </c>
      <c r="AT287" s="1">
        <v>9190263.5333333332</v>
      </c>
      <c r="AU287" s="1">
        <v>10383324.666666666</v>
      </c>
      <c r="AV287" s="1">
        <v>11641360.133333335</v>
      </c>
      <c r="AW287" s="1">
        <v>28221116.466666665</v>
      </c>
      <c r="AX287" s="1">
        <v>11527534.800000001</v>
      </c>
      <c r="AY287" s="1">
        <v>19177391.133333333</v>
      </c>
      <c r="AZ287" s="1">
        <v>9375201.5999999996</v>
      </c>
      <c r="BA287" s="1">
        <v>14108591</v>
      </c>
      <c r="BB287" s="1">
        <v>20268845</v>
      </c>
      <c r="BC287" s="1">
        <v>25975135.533333335</v>
      </c>
      <c r="BD287" s="1">
        <v>12479739.666666666</v>
      </c>
      <c r="BE287" s="1">
        <v>20402024.733333334</v>
      </c>
      <c r="BF287" s="1">
        <v>29827546.199999999</v>
      </c>
      <c r="BG287" s="1">
        <v>48382688.733333334</v>
      </c>
      <c r="BH287" s="1">
        <v>46377620.266666666</v>
      </c>
      <c r="BI287" s="1">
        <v>51884259.333333336</v>
      </c>
      <c r="BJ287" s="1">
        <v>46845526.133333333</v>
      </c>
      <c r="BK287" s="1">
        <v>42459327.066666663</v>
      </c>
      <c r="BL287" s="1">
        <v>31214164.199999999</v>
      </c>
      <c r="BM287" s="1">
        <v>49421418.06666667</v>
      </c>
      <c r="BN287" s="1">
        <v>38666430.733333334</v>
      </c>
      <c r="BO287" s="1">
        <v>41902034.666666672</v>
      </c>
      <c r="BP287" s="1">
        <v>26264673.399999999</v>
      </c>
      <c r="BQ287" s="1">
        <v>27434786.466666669</v>
      </c>
      <c r="BR287" s="1">
        <v>27701471</v>
      </c>
      <c r="BS287" s="1">
        <v>46936878.600000001</v>
      </c>
      <c r="BT287" s="1">
        <v>57001312.600000009</v>
      </c>
      <c r="BU287" s="1">
        <v>36537014.200000003</v>
      </c>
      <c r="BV287" s="1">
        <v>56438505.866666675</v>
      </c>
      <c r="BW287" s="1">
        <v>56438505.866666675</v>
      </c>
      <c r="BX287" s="1">
        <v>42286182.266666666</v>
      </c>
      <c r="BY287" s="1">
        <v>41673885.133333333</v>
      </c>
      <c r="BZ287" s="1">
        <v>54735815.866666667</v>
      </c>
      <c r="CA287" s="1">
        <v>53915832.533333331</v>
      </c>
      <c r="CB287" s="1">
        <v>41415026.200000003</v>
      </c>
      <c r="CC287" s="1">
        <v>40364041.266666673</v>
      </c>
      <c r="CD287" s="1">
        <v>34946201.799999997</v>
      </c>
      <c r="CE287" s="1">
        <v>65834267.200000003</v>
      </c>
      <c r="CF287" s="1">
        <v>48995490.133333333</v>
      </c>
      <c r="CG287" s="1">
        <v>80674507.400000006</v>
      </c>
      <c r="CH287" s="1">
        <v>43988675.533333339</v>
      </c>
      <c r="CI287" s="1">
        <v>80916171.799999997</v>
      </c>
      <c r="CJ287" s="1">
        <v>62026450.866666675</v>
      </c>
      <c r="CK287" s="1">
        <v>45032854.733333334</v>
      </c>
      <c r="CL287" s="1">
        <v>56785443.466666669</v>
      </c>
      <c r="CM287" s="1">
        <v>67732760.600000009</v>
      </c>
      <c r="CN287" s="1">
        <v>57829416.466666676</v>
      </c>
      <c r="CO287" s="1">
        <v>45206783.133333333</v>
      </c>
      <c r="CP287" s="1">
        <v>57854866.133333333</v>
      </c>
      <c r="CQ287" s="1">
        <v>64457526.799999997</v>
      </c>
      <c r="CR287" s="1">
        <v>75411347.933333337</v>
      </c>
      <c r="CS287" s="1">
        <v>75411347.933333337</v>
      </c>
      <c r="CT287" s="1">
        <v>75411347.933333337</v>
      </c>
      <c r="CU287" s="1">
        <v>74985186</v>
      </c>
      <c r="CV287" s="1">
        <v>53744502.933333337</v>
      </c>
      <c r="CW287" s="1">
        <v>60037966.799999997</v>
      </c>
      <c r="CX287" s="1">
        <v>65231655.933333337</v>
      </c>
      <c r="CY287" s="1">
        <v>63191143.266666673</v>
      </c>
      <c r="CZ287" s="1">
        <v>55972967.533333339</v>
      </c>
      <c r="DA287" s="1">
        <v>55367206.333333336</v>
      </c>
      <c r="DB287" s="1">
        <v>46780476.799999997</v>
      </c>
      <c r="DC287" s="1">
        <v>0</v>
      </c>
      <c r="DD287" s="1">
        <v>0</v>
      </c>
      <c r="DE287" s="1">
        <v>0</v>
      </c>
      <c r="DF287" s="1">
        <v>0</v>
      </c>
      <c r="DH287" s="6">
        <f t="shared" si="115"/>
        <v>2807338588.8666682</v>
      </c>
    </row>
    <row r="288" spans="1:112" x14ac:dyDescent="0.2">
      <c r="A288" s="5" t="s">
        <v>37</v>
      </c>
      <c r="B288" s="5" t="s">
        <v>7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>
        <v>39710.31</v>
      </c>
      <c r="AN288" s="1">
        <v>300593.90999999997</v>
      </c>
      <c r="AO288" s="1">
        <v>1183487.58</v>
      </c>
      <c r="AP288" s="1">
        <v>1652146.82</v>
      </c>
      <c r="AQ288" s="1">
        <v>2381115.69</v>
      </c>
      <c r="AR288" s="1">
        <v>2273995.39</v>
      </c>
      <c r="AS288" s="1">
        <v>1864432.57</v>
      </c>
      <c r="AT288" s="1">
        <v>1378539.53</v>
      </c>
      <c r="AU288" s="1">
        <v>1557498.7</v>
      </c>
      <c r="AV288" s="1">
        <v>1746204.02</v>
      </c>
      <c r="AW288" s="1">
        <v>4233167.47</v>
      </c>
      <c r="AX288" s="1">
        <v>1729130.22</v>
      </c>
      <c r="AY288" s="1">
        <v>2876608.67</v>
      </c>
      <c r="AZ288" s="1">
        <v>1406280.24</v>
      </c>
      <c r="BA288" s="1">
        <v>2116288.65</v>
      </c>
      <c r="BB288" s="1">
        <v>3040326.75</v>
      </c>
      <c r="BC288" s="1">
        <v>3896270.33</v>
      </c>
      <c r="BD288" s="1">
        <v>1871960.95</v>
      </c>
      <c r="BE288" s="1">
        <v>3060303.71</v>
      </c>
      <c r="BF288" s="1">
        <v>4474131.93</v>
      </c>
      <c r="BG288" s="1">
        <v>7257403.3099999996</v>
      </c>
      <c r="BH288" s="1">
        <v>6956643.04</v>
      </c>
      <c r="BI288" s="1">
        <v>7782638.9000000004</v>
      </c>
      <c r="BJ288" s="1">
        <v>7026828.9199999999</v>
      </c>
      <c r="BK288" s="1">
        <v>6368899.0599999996</v>
      </c>
      <c r="BL288" s="1">
        <v>4682124.63</v>
      </c>
      <c r="BM288" s="1">
        <v>7413212.71</v>
      </c>
      <c r="BN288" s="1">
        <v>5799964.6100000003</v>
      </c>
      <c r="BO288" s="1">
        <v>6285305.2000000002</v>
      </c>
      <c r="BP288" s="1">
        <v>3939701.01</v>
      </c>
      <c r="BQ288" s="1">
        <v>4115217.97</v>
      </c>
      <c r="BR288" s="1">
        <v>4155220.65</v>
      </c>
      <c r="BS288" s="1">
        <v>7040531.79</v>
      </c>
      <c r="BT288" s="1">
        <v>8550196.8900000006</v>
      </c>
      <c r="BU288" s="1">
        <v>5480552.1299999999</v>
      </c>
      <c r="BV288" s="1">
        <v>8465775.8800000008</v>
      </c>
      <c r="BW288" s="1">
        <v>8465775.8800000008</v>
      </c>
      <c r="BX288" s="1">
        <v>6342927.3399999999</v>
      </c>
      <c r="BY288" s="1">
        <v>6251082.7699999996</v>
      </c>
      <c r="BZ288" s="1">
        <v>8210372.3799999999</v>
      </c>
      <c r="CA288" s="1">
        <v>8087374.8799999999</v>
      </c>
      <c r="CB288" s="1">
        <v>6212253.9299999997</v>
      </c>
      <c r="CC288" s="1">
        <v>6054606.1900000004</v>
      </c>
      <c r="CD288" s="1">
        <v>5241930.2699999996</v>
      </c>
      <c r="CE288" s="1">
        <v>9875140.0800000001</v>
      </c>
      <c r="CF288" s="1">
        <v>7349323.5199999996</v>
      </c>
      <c r="CG288" s="1">
        <v>12101176.109999999</v>
      </c>
      <c r="CH288" s="1">
        <v>6598301.3300000001</v>
      </c>
      <c r="CI288" s="1">
        <v>12137425.77</v>
      </c>
      <c r="CJ288" s="1">
        <v>9303967.6300000008</v>
      </c>
      <c r="CK288" s="1">
        <v>6754928.21</v>
      </c>
      <c r="CL288" s="1">
        <v>8517816.5199999996</v>
      </c>
      <c r="CM288" s="1">
        <v>10159914.09</v>
      </c>
      <c r="CN288" s="1">
        <v>8674412.4700000007</v>
      </c>
      <c r="CO288" s="1">
        <v>6781017.4699999997</v>
      </c>
      <c r="CP288" s="1">
        <v>8678229.9199999999</v>
      </c>
      <c r="CQ288" s="1">
        <v>9668629.0199999996</v>
      </c>
      <c r="CR288" s="1">
        <v>11311702.189999999</v>
      </c>
      <c r="CS288" s="1">
        <v>11311702.189999999</v>
      </c>
      <c r="CT288" s="1">
        <v>11311702.189999999</v>
      </c>
      <c r="CU288" s="1">
        <v>11247777.9</v>
      </c>
      <c r="CV288" s="1">
        <v>8061675.4400000004</v>
      </c>
      <c r="CW288" s="1">
        <v>9005695.0199999996</v>
      </c>
      <c r="CX288" s="1">
        <v>9784748.3900000006</v>
      </c>
      <c r="CY288" s="1">
        <v>9478671.4900000002</v>
      </c>
      <c r="CZ288" s="1">
        <v>8395945.1300000008</v>
      </c>
      <c r="DA288" s="1">
        <v>8305080.9500000002</v>
      </c>
      <c r="DB288" s="1">
        <v>7017071.5199999996</v>
      </c>
      <c r="DC288" s="1">
        <v>0</v>
      </c>
      <c r="DD288" s="1">
        <v>0</v>
      </c>
      <c r="DE288" s="1">
        <v>0</v>
      </c>
      <c r="DF288" s="1">
        <v>0</v>
      </c>
      <c r="DH288" s="6">
        <f t="shared" si="115"/>
        <v>421100788.33000004</v>
      </c>
    </row>
    <row r="289" spans="1:112" x14ac:dyDescent="0.2">
      <c r="A289" s="5" t="str">
        <f>A288</f>
        <v>VA</v>
      </c>
      <c r="B289" s="5" t="s">
        <v>41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>
        <v>6821689</v>
      </c>
      <c r="AN289" s="1">
        <v>15470532</v>
      </c>
      <c r="AO289" s="1">
        <v>12728865</v>
      </c>
      <c r="AP289" s="1">
        <v>8062180</v>
      </c>
      <c r="AQ289" s="1">
        <v>7510348</v>
      </c>
      <c r="AR289" s="1">
        <v>7109399</v>
      </c>
      <c r="AS289" s="1">
        <v>7274536</v>
      </c>
      <c r="AT289" s="1">
        <v>9279363</v>
      </c>
      <c r="AU289" s="1">
        <v>20594849</v>
      </c>
      <c r="AV289" s="1">
        <v>20374685</v>
      </c>
      <c r="AW289" s="1">
        <v>18410340</v>
      </c>
      <c r="AX289" s="1">
        <v>21391617</v>
      </c>
      <c r="AY289" s="1">
        <v>20829500</v>
      </c>
      <c r="AZ289" s="1">
        <v>19613883</v>
      </c>
      <c r="BA289" s="1">
        <v>19375574</v>
      </c>
      <c r="BB289" s="1">
        <v>15513882</v>
      </c>
      <c r="BC289" s="1">
        <v>15013197</v>
      </c>
      <c r="BD289" s="1">
        <v>12980297</v>
      </c>
      <c r="BE289" s="1">
        <v>4625632</v>
      </c>
      <c r="BF289" s="1">
        <v>5535938</v>
      </c>
      <c r="BG289" s="1">
        <v>5428691</v>
      </c>
      <c r="BH289" s="1">
        <v>5631200</v>
      </c>
      <c r="BI289" s="1">
        <v>4705806</v>
      </c>
      <c r="BJ289" s="1">
        <v>3666781</v>
      </c>
      <c r="BK289" s="1">
        <v>7593835</v>
      </c>
      <c r="BL289" s="1">
        <v>11381659</v>
      </c>
      <c r="BM289" s="1">
        <v>7607547</v>
      </c>
      <c r="BN289" s="1">
        <v>6189511</v>
      </c>
      <c r="BO289" s="1">
        <v>5597170</v>
      </c>
      <c r="BP289" s="1">
        <v>6233694</v>
      </c>
      <c r="BQ289" s="1">
        <v>4260470</v>
      </c>
      <c r="BR289" s="1">
        <v>4454745</v>
      </c>
      <c r="BS289" s="1">
        <v>8465192</v>
      </c>
      <c r="BT289" s="1">
        <v>7632869</v>
      </c>
      <c r="BU289" s="1">
        <v>6648310</v>
      </c>
      <c r="BV289" s="1">
        <v>6419049</v>
      </c>
      <c r="BW289" s="1">
        <v>6829967</v>
      </c>
      <c r="BX289" s="1">
        <v>5586280</v>
      </c>
      <c r="BY289" s="1">
        <v>5258851</v>
      </c>
      <c r="BZ289" s="1">
        <v>5965359</v>
      </c>
      <c r="CA289" s="1">
        <v>6034305</v>
      </c>
      <c r="CB289" s="1">
        <v>5018313</v>
      </c>
      <c r="CC289" s="1">
        <v>4592779</v>
      </c>
      <c r="CD289" s="1">
        <v>5159926</v>
      </c>
      <c r="CE289" s="1">
        <v>5674405</v>
      </c>
      <c r="CF289" s="1">
        <v>5270863</v>
      </c>
      <c r="CG289" s="1">
        <v>5706381</v>
      </c>
      <c r="CH289" s="1">
        <v>5663652</v>
      </c>
      <c r="CI289" s="1">
        <v>6381395</v>
      </c>
      <c r="CJ289" s="1">
        <v>4895142</v>
      </c>
      <c r="CK289" s="1">
        <v>5593092</v>
      </c>
      <c r="CL289" s="1">
        <v>6646578</v>
      </c>
      <c r="CM289" s="1">
        <v>4488380</v>
      </c>
      <c r="CN289" s="1">
        <v>3650462</v>
      </c>
      <c r="CO289" s="1">
        <v>3835500</v>
      </c>
      <c r="CP289" s="1">
        <v>4599139</v>
      </c>
      <c r="CQ289" s="1">
        <v>5260715</v>
      </c>
      <c r="CR289" s="1">
        <v>5254711</v>
      </c>
      <c r="CS289" s="1">
        <v>3905558</v>
      </c>
      <c r="CT289" s="1">
        <v>4149889</v>
      </c>
      <c r="CU289" s="1">
        <v>4345903</v>
      </c>
      <c r="CV289" s="1">
        <v>3258333</v>
      </c>
      <c r="CW289" s="1">
        <v>3712980</v>
      </c>
      <c r="CX289" s="1">
        <v>5072203</v>
      </c>
      <c r="CY289" s="1">
        <v>4313883</v>
      </c>
      <c r="CZ289" s="1">
        <v>4030728</v>
      </c>
      <c r="DA289" s="1">
        <v>3995705</v>
      </c>
      <c r="DB289" s="1">
        <v>4117051</v>
      </c>
      <c r="DC289" s="1">
        <v>0</v>
      </c>
      <c r="DD289" s="1">
        <v>0</v>
      </c>
      <c r="DE289" s="1">
        <v>0</v>
      </c>
      <c r="DF289" s="1">
        <v>0</v>
      </c>
      <c r="DH289" s="6">
        <f t="shared" si="115"/>
        <v>528701263</v>
      </c>
    </row>
    <row r="290" spans="1:112" x14ac:dyDescent="0.2">
      <c r="A290" s="5" t="s">
        <v>38</v>
      </c>
      <c r="B290" s="5" t="s">
        <v>4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>
        <v>19913914</v>
      </c>
      <c r="BX290" s="1">
        <v>21249828</v>
      </c>
      <c r="BY290" s="1">
        <v>20196055</v>
      </c>
      <c r="BZ290" s="1">
        <v>17083302</v>
      </c>
      <c r="CA290" s="1">
        <v>12607503</v>
      </c>
      <c r="CB290" s="1">
        <v>10049904</v>
      </c>
      <c r="CC290" s="1">
        <v>9466746</v>
      </c>
      <c r="CD290" s="1">
        <v>11312536</v>
      </c>
      <c r="CE290" s="1">
        <v>16664999</v>
      </c>
      <c r="CF290" s="1">
        <v>17332715</v>
      </c>
      <c r="CG290" s="1">
        <v>18423720</v>
      </c>
      <c r="CH290" s="1">
        <v>24453075</v>
      </c>
      <c r="CI290" s="1">
        <v>23870533</v>
      </c>
      <c r="CJ290" s="1">
        <v>21534379</v>
      </c>
      <c r="CK290" s="1">
        <v>22945016</v>
      </c>
      <c r="CL290" s="1">
        <v>16238019</v>
      </c>
      <c r="CM290" s="1">
        <v>16261329</v>
      </c>
      <c r="CN290" s="1">
        <v>14004898</v>
      </c>
      <c r="CO290" s="1">
        <v>14828068</v>
      </c>
      <c r="CP290" s="1">
        <v>13457502</v>
      </c>
      <c r="CQ290" s="1">
        <v>20032171</v>
      </c>
      <c r="CR290" s="1">
        <v>26608558</v>
      </c>
      <c r="CS290" s="1">
        <v>22521109</v>
      </c>
      <c r="CT290" s="1">
        <v>22787876</v>
      </c>
      <c r="CU290" s="1">
        <v>27409816</v>
      </c>
      <c r="CV290" s="1">
        <v>21870154</v>
      </c>
      <c r="CW290" s="1">
        <v>21844452</v>
      </c>
      <c r="CX290" s="1">
        <v>17513177</v>
      </c>
      <c r="CY290" s="1">
        <v>13986635</v>
      </c>
      <c r="CZ290" s="1">
        <v>13991232</v>
      </c>
      <c r="DA290" s="1">
        <v>16234252</v>
      </c>
      <c r="DB290" s="1">
        <v>13629196</v>
      </c>
      <c r="DC290" s="1">
        <v>19758552</v>
      </c>
      <c r="DD290" s="1">
        <v>0</v>
      </c>
      <c r="DE290" s="1">
        <v>0</v>
      </c>
      <c r="DF290" s="1">
        <v>0</v>
      </c>
      <c r="DH290" s="6">
        <f t="shared" si="115"/>
        <v>600081221</v>
      </c>
    </row>
    <row r="291" spans="1:112" x14ac:dyDescent="0.2">
      <c r="A291" s="5" t="s">
        <v>38</v>
      </c>
      <c r="B291" s="5" t="s">
        <v>42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>
        <v>19913914</v>
      </c>
      <c r="BX291" s="1">
        <v>21249828</v>
      </c>
      <c r="BY291" s="1">
        <v>20196055</v>
      </c>
      <c r="BZ291" s="1">
        <v>17083302</v>
      </c>
      <c r="CA291" s="1">
        <v>12607503</v>
      </c>
      <c r="CB291" s="1">
        <v>10049904</v>
      </c>
      <c r="CC291" s="1">
        <v>9466746</v>
      </c>
      <c r="CD291" s="1">
        <v>11312536</v>
      </c>
      <c r="CE291" s="1">
        <v>16664999</v>
      </c>
      <c r="CF291" s="1">
        <v>17332715</v>
      </c>
      <c r="CG291" s="1">
        <v>18423720</v>
      </c>
      <c r="CH291" s="1">
        <v>24453075</v>
      </c>
      <c r="CI291" s="1">
        <v>23870533</v>
      </c>
      <c r="CJ291" s="1">
        <v>21534379</v>
      </c>
      <c r="CK291" s="1">
        <v>22945016</v>
      </c>
      <c r="CL291" s="1">
        <v>16238019</v>
      </c>
      <c r="CM291" s="1">
        <v>16261329</v>
      </c>
      <c r="CN291" s="1">
        <v>14004898</v>
      </c>
      <c r="CO291" s="1">
        <v>14828068</v>
      </c>
      <c r="CP291" s="1">
        <v>13457502</v>
      </c>
      <c r="CQ291" s="1">
        <v>20032171</v>
      </c>
      <c r="CR291" s="1">
        <v>26608558</v>
      </c>
      <c r="CS291" s="1">
        <v>22521109</v>
      </c>
      <c r="CT291" s="1">
        <v>22787876</v>
      </c>
      <c r="CU291" s="1">
        <v>27409816</v>
      </c>
      <c r="CV291" s="1">
        <v>21870154</v>
      </c>
      <c r="CW291" s="1">
        <v>21844452</v>
      </c>
      <c r="CX291" s="1">
        <v>17513177</v>
      </c>
      <c r="CY291" s="1">
        <v>13986635</v>
      </c>
      <c r="CZ291" s="1">
        <v>13991232</v>
      </c>
      <c r="DA291" s="1">
        <v>16234252</v>
      </c>
      <c r="DB291" s="1">
        <v>13629196</v>
      </c>
      <c r="DC291" s="1">
        <v>19758552</v>
      </c>
      <c r="DD291" s="1">
        <v>0</v>
      </c>
      <c r="DE291" s="1">
        <v>0</v>
      </c>
      <c r="DF291" s="1">
        <v>0</v>
      </c>
      <c r="DH291" s="6">
        <f t="shared" si="115"/>
        <v>600081221</v>
      </c>
    </row>
    <row r="292" spans="1:112" x14ac:dyDescent="0.2">
      <c r="A292" s="5" t="s">
        <v>38</v>
      </c>
      <c r="B292" s="5" t="s">
        <v>43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>
        <f>BW290-BW291</f>
        <v>0</v>
      </c>
      <c r="BX292" s="1">
        <f t="shared" ref="BX292:CC292" si="137">BX290-BX291</f>
        <v>0</v>
      </c>
      <c r="BY292" s="1">
        <f t="shared" si="137"/>
        <v>0</v>
      </c>
      <c r="BZ292" s="1">
        <f t="shared" si="137"/>
        <v>0</v>
      </c>
      <c r="CA292" s="1">
        <f t="shared" si="137"/>
        <v>0</v>
      </c>
      <c r="CB292" s="1">
        <f t="shared" si="137"/>
        <v>0</v>
      </c>
      <c r="CC292" s="1">
        <f t="shared" si="137"/>
        <v>0</v>
      </c>
      <c r="CD292" s="1">
        <f>CD290-CD291</f>
        <v>0</v>
      </c>
      <c r="CE292" s="1">
        <f>CE290-CE291</f>
        <v>0</v>
      </c>
      <c r="CF292" s="1">
        <f>CF290-CF291</f>
        <v>0</v>
      </c>
      <c r="CG292" s="1">
        <f>CG290-CG291</f>
        <v>0</v>
      </c>
      <c r="CH292" s="1">
        <f>CH290-CH291</f>
        <v>0</v>
      </c>
      <c r="CI292" s="1">
        <f t="shared" ref="CI292:DF292" si="138">CI290-CI291</f>
        <v>0</v>
      </c>
      <c r="CJ292" s="1">
        <f t="shared" si="138"/>
        <v>0</v>
      </c>
      <c r="CK292" s="1">
        <f t="shared" si="138"/>
        <v>0</v>
      </c>
      <c r="CL292" s="1">
        <f t="shared" si="138"/>
        <v>0</v>
      </c>
      <c r="CM292" s="1">
        <f t="shared" si="138"/>
        <v>0</v>
      </c>
      <c r="CN292" s="1">
        <f t="shared" si="138"/>
        <v>0</v>
      </c>
      <c r="CO292" s="1">
        <f t="shared" si="138"/>
        <v>0</v>
      </c>
      <c r="CP292" s="1">
        <f t="shared" si="138"/>
        <v>0</v>
      </c>
      <c r="CQ292" s="1">
        <f t="shared" si="138"/>
        <v>0</v>
      </c>
      <c r="CR292" s="1">
        <f t="shared" si="138"/>
        <v>0</v>
      </c>
      <c r="CS292" s="1">
        <f t="shared" si="138"/>
        <v>0</v>
      </c>
      <c r="CT292" s="1">
        <f t="shared" si="138"/>
        <v>0</v>
      </c>
      <c r="CU292" s="1">
        <f t="shared" si="138"/>
        <v>0</v>
      </c>
      <c r="CV292" s="1">
        <f t="shared" si="138"/>
        <v>0</v>
      </c>
      <c r="CW292" s="1">
        <f t="shared" si="138"/>
        <v>0</v>
      </c>
      <c r="CX292" s="1">
        <f t="shared" si="138"/>
        <v>0</v>
      </c>
      <c r="CY292" s="1">
        <f t="shared" si="138"/>
        <v>0</v>
      </c>
      <c r="CZ292" s="1">
        <f t="shared" si="138"/>
        <v>0</v>
      </c>
      <c r="DA292" s="1">
        <f t="shared" si="138"/>
        <v>0</v>
      </c>
      <c r="DB292" s="1">
        <f t="shared" si="138"/>
        <v>0</v>
      </c>
      <c r="DC292" s="1">
        <f t="shared" si="138"/>
        <v>0</v>
      </c>
      <c r="DD292" s="1">
        <f t="shared" si="138"/>
        <v>0</v>
      </c>
      <c r="DE292" s="1">
        <f t="shared" si="138"/>
        <v>0</v>
      </c>
      <c r="DF292" s="1">
        <f t="shared" si="138"/>
        <v>0</v>
      </c>
      <c r="DH292" s="6">
        <f t="shared" si="115"/>
        <v>0</v>
      </c>
    </row>
    <row r="293" spans="1:112" x14ac:dyDescent="0.2">
      <c r="A293" s="5" t="s">
        <v>38</v>
      </c>
      <c r="B293" s="5" t="s">
        <v>5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>
        <v>4211298</v>
      </c>
      <c r="BX293" s="1">
        <v>2547167</v>
      </c>
      <c r="BY293" s="1">
        <v>1534333</v>
      </c>
      <c r="BZ293" s="1">
        <v>1807282</v>
      </c>
      <c r="CA293" s="1">
        <v>1275226</v>
      </c>
      <c r="CB293" s="1">
        <v>1030762</v>
      </c>
      <c r="CC293" s="1">
        <v>1231459</v>
      </c>
      <c r="CD293" s="1">
        <v>951673</v>
      </c>
      <c r="CE293" s="1">
        <v>2248257</v>
      </c>
      <c r="CF293" s="1">
        <v>1164278</v>
      </c>
      <c r="CG293" s="1">
        <v>2155615</v>
      </c>
      <c r="CH293" s="1">
        <v>1766156</v>
      </c>
      <c r="CI293" s="1">
        <v>3242704</v>
      </c>
      <c r="CJ293" s="1">
        <v>2402541</v>
      </c>
      <c r="CK293" s="1">
        <v>1490783</v>
      </c>
      <c r="CL293" s="1">
        <v>1655205</v>
      </c>
      <c r="CM293" s="1">
        <v>1882399</v>
      </c>
      <c r="CN293" s="1">
        <v>1530710</v>
      </c>
      <c r="CO293" s="1">
        <v>1396731</v>
      </c>
      <c r="CP293" s="1">
        <v>1716234</v>
      </c>
      <c r="CQ293" s="1">
        <v>1510294</v>
      </c>
      <c r="CR293" s="1">
        <v>2176075</v>
      </c>
      <c r="CS293" s="1">
        <v>3216573</v>
      </c>
      <c r="CT293" s="1">
        <v>2745156</v>
      </c>
      <c r="CU293" s="1">
        <v>3081523</v>
      </c>
      <c r="CV293" s="1">
        <v>2797167</v>
      </c>
      <c r="CW293" s="1">
        <v>2050787</v>
      </c>
      <c r="CX293" s="1">
        <v>2242208</v>
      </c>
      <c r="CY293" s="1">
        <v>1955300</v>
      </c>
      <c r="CZ293" s="1">
        <v>1776979</v>
      </c>
      <c r="DA293" s="1">
        <v>1612722</v>
      </c>
      <c r="DB293" s="1">
        <v>1298722</v>
      </c>
      <c r="DC293" s="1">
        <v>1922413</v>
      </c>
      <c r="DD293" s="1">
        <v>0</v>
      </c>
      <c r="DE293" s="1">
        <v>0</v>
      </c>
      <c r="DF293" s="1">
        <v>0</v>
      </c>
      <c r="DH293" s="6">
        <f t="shared" si="115"/>
        <v>65626732</v>
      </c>
    </row>
    <row r="294" spans="1:112" x14ac:dyDescent="0.2">
      <c r="A294" s="5" t="s">
        <v>38</v>
      </c>
      <c r="B294" s="5" t="s">
        <v>44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>
        <v>4211298</v>
      </c>
      <c r="BX294" s="1">
        <v>2547167</v>
      </c>
      <c r="BY294" s="1">
        <v>1534333</v>
      </c>
      <c r="BZ294" s="1">
        <v>1807282</v>
      </c>
      <c r="CA294" s="1">
        <v>1275226</v>
      </c>
      <c r="CB294" s="1">
        <v>1030762</v>
      </c>
      <c r="CC294" s="1">
        <v>1231459</v>
      </c>
      <c r="CD294" s="1">
        <v>951673</v>
      </c>
      <c r="CE294" s="1">
        <v>2248257</v>
      </c>
      <c r="CF294" s="1">
        <v>1164278</v>
      </c>
      <c r="CG294" s="1">
        <v>2155615</v>
      </c>
      <c r="CH294" s="1">
        <v>1766156</v>
      </c>
      <c r="CI294" s="1">
        <v>3242704</v>
      </c>
      <c r="CJ294" s="1">
        <v>2402541</v>
      </c>
      <c r="CK294" s="1">
        <v>1490783</v>
      </c>
      <c r="CL294" s="1">
        <v>1655205</v>
      </c>
      <c r="CM294" s="1">
        <v>1882399</v>
      </c>
      <c r="CN294" s="1">
        <v>1530710</v>
      </c>
      <c r="CO294" s="1">
        <v>1396731</v>
      </c>
      <c r="CP294" s="1">
        <v>1716234</v>
      </c>
      <c r="CQ294" s="1">
        <v>1510294</v>
      </c>
      <c r="CR294" s="1">
        <v>2176075</v>
      </c>
      <c r="CS294" s="1">
        <v>3216573</v>
      </c>
      <c r="CT294" s="1">
        <v>2745156</v>
      </c>
      <c r="CU294" s="1">
        <v>3081523</v>
      </c>
      <c r="CV294" s="1">
        <v>2797167</v>
      </c>
      <c r="CW294" s="1">
        <v>2050787</v>
      </c>
      <c r="CX294" s="1">
        <v>2242208</v>
      </c>
      <c r="CY294" s="1">
        <v>1955300</v>
      </c>
      <c r="CZ294" s="1">
        <v>1776979</v>
      </c>
      <c r="DA294" s="1">
        <v>1612722</v>
      </c>
      <c r="DB294" s="1">
        <v>1298722</v>
      </c>
      <c r="DC294" s="1">
        <v>1922413</v>
      </c>
      <c r="DD294" s="1">
        <v>0</v>
      </c>
      <c r="DE294" s="1">
        <v>0</v>
      </c>
      <c r="DF294" s="1">
        <v>0</v>
      </c>
      <c r="DH294" s="6">
        <f t="shared" si="115"/>
        <v>65626732</v>
      </c>
    </row>
    <row r="295" spans="1:112" x14ac:dyDescent="0.2">
      <c r="A295" s="5" t="s">
        <v>38</v>
      </c>
      <c r="B295" s="5" t="s">
        <v>45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>
        <f>BW293-BW294</f>
        <v>0</v>
      </c>
      <c r="BX295" s="1">
        <f t="shared" ref="BX295:CC295" si="139">BX293-BX294</f>
        <v>0</v>
      </c>
      <c r="BY295" s="1">
        <f t="shared" si="139"/>
        <v>0</v>
      </c>
      <c r="BZ295" s="1">
        <f t="shared" si="139"/>
        <v>0</v>
      </c>
      <c r="CA295" s="1">
        <f t="shared" si="139"/>
        <v>0</v>
      </c>
      <c r="CB295" s="1">
        <f t="shared" si="139"/>
        <v>0</v>
      </c>
      <c r="CC295" s="1">
        <f t="shared" si="139"/>
        <v>0</v>
      </c>
      <c r="CD295" s="1">
        <f>CD293-CD294</f>
        <v>0</v>
      </c>
      <c r="CE295" s="1">
        <f>CE293-CE294</f>
        <v>0</v>
      </c>
      <c r="CF295" s="1">
        <f>CF293-CF294</f>
        <v>0</v>
      </c>
      <c r="CG295" s="1">
        <f>CG293-CG294</f>
        <v>0</v>
      </c>
      <c r="CH295" s="1">
        <f>CH293-CH294</f>
        <v>0</v>
      </c>
      <c r="CI295" s="1">
        <f t="shared" ref="CI295:DF295" si="140">CI293-CI294</f>
        <v>0</v>
      </c>
      <c r="CJ295" s="1">
        <f t="shared" si="140"/>
        <v>0</v>
      </c>
      <c r="CK295" s="1">
        <f t="shared" si="140"/>
        <v>0</v>
      </c>
      <c r="CL295" s="1">
        <f t="shared" si="140"/>
        <v>0</v>
      </c>
      <c r="CM295" s="1">
        <f t="shared" si="140"/>
        <v>0</v>
      </c>
      <c r="CN295" s="1">
        <f t="shared" si="140"/>
        <v>0</v>
      </c>
      <c r="CO295" s="1">
        <f t="shared" si="140"/>
        <v>0</v>
      </c>
      <c r="CP295" s="1">
        <f t="shared" si="140"/>
        <v>0</v>
      </c>
      <c r="CQ295" s="1">
        <f t="shared" si="140"/>
        <v>0</v>
      </c>
      <c r="CR295" s="1">
        <f t="shared" si="140"/>
        <v>0</v>
      </c>
      <c r="CS295" s="1">
        <f t="shared" si="140"/>
        <v>0</v>
      </c>
      <c r="CT295" s="1">
        <f t="shared" si="140"/>
        <v>0</v>
      </c>
      <c r="CU295" s="1">
        <f t="shared" si="140"/>
        <v>0</v>
      </c>
      <c r="CV295" s="1">
        <f t="shared" si="140"/>
        <v>0</v>
      </c>
      <c r="CW295" s="1">
        <f t="shared" si="140"/>
        <v>0</v>
      </c>
      <c r="CX295" s="1">
        <f t="shared" si="140"/>
        <v>0</v>
      </c>
      <c r="CY295" s="1">
        <f t="shared" si="140"/>
        <v>0</v>
      </c>
      <c r="CZ295" s="1">
        <f t="shared" si="140"/>
        <v>0</v>
      </c>
      <c r="DA295" s="1">
        <f t="shared" si="140"/>
        <v>0</v>
      </c>
      <c r="DB295" s="1">
        <f t="shared" si="140"/>
        <v>0</v>
      </c>
      <c r="DC295" s="1">
        <f t="shared" si="140"/>
        <v>0</v>
      </c>
      <c r="DD295" s="1">
        <f t="shared" si="140"/>
        <v>0</v>
      </c>
      <c r="DE295" s="1">
        <f t="shared" si="140"/>
        <v>0</v>
      </c>
      <c r="DF295" s="1">
        <f t="shared" si="140"/>
        <v>0</v>
      </c>
      <c r="DH295" s="6">
        <f t="shared" si="115"/>
        <v>0</v>
      </c>
    </row>
    <row r="296" spans="1:112" x14ac:dyDescent="0.2">
      <c r="A296" s="5" t="s">
        <v>38</v>
      </c>
      <c r="B296" s="5" t="s">
        <v>6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>
        <v>3554437</v>
      </c>
      <c r="BX296" s="1">
        <v>2305272</v>
      </c>
      <c r="BY296" s="1">
        <v>1376929</v>
      </c>
      <c r="BZ296" s="1">
        <v>1658885</v>
      </c>
      <c r="CA296" s="1">
        <v>1197263</v>
      </c>
      <c r="CB296" s="1">
        <v>922968</v>
      </c>
      <c r="CC296" s="1">
        <v>1151385</v>
      </c>
      <c r="CD296" s="1">
        <v>856706</v>
      </c>
      <c r="CE296" s="1">
        <v>2066841</v>
      </c>
      <c r="CF296" s="1">
        <v>1060726</v>
      </c>
      <c r="CG296" s="1">
        <v>2055930</v>
      </c>
      <c r="CH296" s="1">
        <v>1644354</v>
      </c>
      <c r="CI296" s="1">
        <v>2524674</v>
      </c>
      <c r="CJ296" s="1">
        <v>2181095</v>
      </c>
      <c r="CK296" s="1">
        <v>1288211</v>
      </c>
      <c r="CL296" s="1">
        <v>1512322</v>
      </c>
      <c r="CM296" s="1">
        <v>1777539</v>
      </c>
      <c r="CN296" s="1">
        <v>1430844</v>
      </c>
      <c r="CO296" s="1">
        <v>1279622</v>
      </c>
      <c r="CP296" s="1">
        <v>1602942</v>
      </c>
      <c r="CQ296" s="1">
        <v>1454875</v>
      </c>
      <c r="CR296" s="1">
        <v>2028496</v>
      </c>
      <c r="CS296" s="1">
        <v>3130797</v>
      </c>
      <c r="CT296" s="1">
        <v>2616480</v>
      </c>
      <c r="CU296" s="1">
        <v>2574166</v>
      </c>
      <c r="CV296" s="1">
        <v>2640060</v>
      </c>
      <c r="CW296" s="1">
        <v>1866870</v>
      </c>
      <c r="CX296" s="1">
        <v>2112936</v>
      </c>
      <c r="CY296" s="1">
        <v>1864713</v>
      </c>
      <c r="CZ296" s="1">
        <v>1673912</v>
      </c>
      <c r="DA296" s="1">
        <v>1520270</v>
      </c>
      <c r="DB296" s="1">
        <v>1198633</v>
      </c>
      <c r="DC296" s="1">
        <v>1710695</v>
      </c>
      <c r="DD296" s="1">
        <v>0</v>
      </c>
      <c r="DE296" s="1">
        <v>0</v>
      </c>
      <c r="DF296" s="1">
        <v>0</v>
      </c>
      <c r="DH296" s="6">
        <f t="shared" si="115"/>
        <v>59841848</v>
      </c>
    </row>
    <row r="297" spans="1:112" x14ac:dyDescent="0.2">
      <c r="A297" s="5" t="s">
        <v>38</v>
      </c>
      <c r="B297" s="5" t="s">
        <v>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>
        <v>1146703</v>
      </c>
      <c r="BX297" s="1">
        <v>731874</v>
      </c>
      <c r="BY297" s="1">
        <v>441030</v>
      </c>
      <c r="BZ297" s="1">
        <v>532457</v>
      </c>
      <c r="CA297" s="1">
        <v>382430</v>
      </c>
      <c r="CB297" s="1">
        <v>294847</v>
      </c>
      <c r="CC297" s="1">
        <v>366664</v>
      </c>
      <c r="CD297" s="1">
        <v>273126</v>
      </c>
      <c r="CE297" s="1">
        <v>656455</v>
      </c>
      <c r="CF297" s="1">
        <v>339378</v>
      </c>
      <c r="CG297" s="1">
        <v>653891</v>
      </c>
      <c r="CH297" s="1">
        <v>524309</v>
      </c>
      <c r="CI297" s="1">
        <v>806070</v>
      </c>
      <c r="CJ297" s="1">
        <v>693284</v>
      </c>
      <c r="CK297" s="1">
        <v>405942</v>
      </c>
      <c r="CL297" s="1">
        <v>482245</v>
      </c>
      <c r="CM297" s="1">
        <v>564762</v>
      </c>
      <c r="CN297" s="1">
        <v>454195</v>
      </c>
      <c r="CO297" s="1">
        <v>405030</v>
      </c>
      <c r="CP297" s="1">
        <v>507482</v>
      </c>
      <c r="CQ297" s="1">
        <v>461912</v>
      </c>
      <c r="CR297" s="1">
        <v>646373</v>
      </c>
      <c r="CS297" s="1">
        <v>994839</v>
      </c>
      <c r="CT297" s="1">
        <v>830680</v>
      </c>
      <c r="CU297" s="1">
        <v>818835</v>
      </c>
      <c r="CV297" s="1">
        <v>836413</v>
      </c>
      <c r="CW297" s="1">
        <v>591430</v>
      </c>
      <c r="CX297" s="1">
        <v>669702</v>
      </c>
      <c r="CY297" s="1">
        <v>591701</v>
      </c>
      <c r="CZ297" s="1">
        <v>531140</v>
      </c>
      <c r="DA297" s="1">
        <v>480141</v>
      </c>
      <c r="DB297" s="1">
        <v>379788</v>
      </c>
      <c r="DC297" s="1">
        <v>542813</v>
      </c>
      <c r="DD297" s="1">
        <v>0</v>
      </c>
      <c r="DE297" s="1">
        <v>0</v>
      </c>
      <c r="DF297" s="1">
        <v>0</v>
      </c>
      <c r="DH297" s="6">
        <f t="shared" si="115"/>
        <v>19037941</v>
      </c>
    </row>
    <row r="298" spans="1:112" x14ac:dyDescent="0.2">
      <c r="A298" s="5" t="str">
        <f>A297</f>
        <v>VT</v>
      </c>
      <c r="B298" s="5" t="s">
        <v>41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H298" s="6">
        <f t="shared" si="115"/>
        <v>0</v>
      </c>
    </row>
    <row r="299" spans="1:112" x14ac:dyDescent="0.2">
      <c r="A299" s="5" t="s">
        <v>39</v>
      </c>
      <c r="B299" s="5" t="s">
        <v>4</v>
      </c>
      <c r="C299" s="1"/>
      <c r="D299" s="1"/>
      <c r="E299" s="1"/>
      <c r="F299" s="1"/>
      <c r="G299" s="1"/>
      <c r="H299" s="1"/>
      <c r="I299" s="1"/>
      <c r="J299" s="1"/>
      <c r="K299" s="1">
        <v>7322254.9199999999</v>
      </c>
      <c r="L299" s="1">
        <v>9735874.3599999994</v>
      </c>
      <c r="M299" s="1">
        <v>12610479.740000002</v>
      </c>
      <c r="N299" s="1">
        <v>16757252.74</v>
      </c>
      <c r="O299" s="1">
        <v>17808456.82</v>
      </c>
      <c r="P299" s="1">
        <v>17434691.640000001</v>
      </c>
      <c r="Q299" s="1">
        <v>17648634.16</v>
      </c>
      <c r="R299" s="1">
        <v>10334721.77</v>
      </c>
      <c r="S299" s="1">
        <v>8667939.1500000004</v>
      </c>
      <c r="T299" s="1">
        <v>9671070.0299999975</v>
      </c>
      <c r="U299" s="1">
        <v>5851318.1600000001</v>
      </c>
      <c r="V299" s="1">
        <v>12656911.02</v>
      </c>
      <c r="W299" s="1">
        <v>25620077.450000003</v>
      </c>
      <c r="X299" s="1">
        <v>28971261.399999999</v>
      </c>
      <c r="Y299" s="1">
        <v>41019717.310000002</v>
      </c>
      <c r="Z299" s="1">
        <v>30342333.390000001</v>
      </c>
      <c r="AA299" s="1">
        <v>35398396.380000003</v>
      </c>
      <c r="AB299" s="1">
        <v>48474168.359999999</v>
      </c>
      <c r="AC299" s="1">
        <v>14705299.620000001</v>
      </c>
      <c r="AD299" s="1">
        <v>1901698.4399999997</v>
      </c>
      <c r="AE299" s="1">
        <v>6035531.6200000001</v>
      </c>
      <c r="AF299" s="1">
        <v>6338618.3900000006</v>
      </c>
      <c r="AG299" s="1">
        <v>10384818.370000001</v>
      </c>
      <c r="AH299" s="1">
        <v>45897000.930000007</v>
      </c>
      <c r="AI299" s="1">
        <v>64433458.179999992</v>
      </c>
      <c r="AJ299" s="1">
        <v>57150985.789999999</v>
      </c>
      <c r="AK299" s="1">
        <v>48532442.25</v>
      </c>
      <c r="AL299" s="1">
        <v>53236335.75</v>
      </c>
      <c r="AM299" s="1">
        <v>67598350.170000002</v>
      </c>
      <c r="AN299" s="1">
        <v>38212774.859999999</v>
      </c>
      <c r="AO299" s="1">
        <v>42751229.649999999</v>
      </c>
      <c r="AP299" s="1">
        <v>28075234.949999999</v>
      </c>
      <c r="AQ299" s="1">
        <v>31858948.490000002</v>
      </c>
      <c r="AR299" s="1">
        <v>29923766.050000001</v>
      </c>
      <c r="AS299" s="1">
        <v>21290275.090000004</v>
      </c>
      <c r="AT299" s="1">
        <v>22350089.020000003</v>
      </c>
      <c r="AU299" s="1">
        <v>45731106.699999996</v>
      </c>
      <c r="AV299" s="1">
        <v>76021063.609999985</v>
      </c>
      <c r="AW299" s="1">
        <v>83097857.590000004</v>
      </c>
      <c r="AX299" s="1">
        <v>57598451.300000004</v>
      </c>
      <c r="AY299" s="1">
        <v>75812782</v>
      </c>
      <c r="AZ299" s="1">
        <v>49271582.950000003</v>
      </c>
      <c r="BA299" s="1">
        <v>51713268.549999997</v>
      </c>
      <c r="BB299" s="1">
        <v>45633610.106999993</v>
      </c>
      <c r="BC299" s="1">
        <v>37283883.950000003</v>
      </c>
      <c r="BD299" s="1">
        <v>33301204.18</v>
      </c>
      <c r="BE299" s="1">
        <v>25017812.379999999</v>
      </c>
      <c r="BF299" s="1">
        <v>23099015.509999998</v>
      </c>
      <c r="BG299" s="1">
        <v>45899184.900000006</v>
      </c>
      <c r="BH299" s="1">
        <v>62979279.219999999</v>
      </c>
      <c r="BI299" s="1">
        <v>69848039.650000006</v>
      </c>
      <c r="BJ299" s="1">
        <v>65959801.900000006</v>
      </c>
      <c r="BK299" s="1">
        <v>44774915.350000001</v>
      </c>
      <c r="BL299" s="1">
        <v>39758197.009999998</v>
      </c>
      <c r="BM299" s="1">
        <v>43069841.359999992</v>
      </c>
      <c r="BN299" s="1">
        <v>46765565.729999997</v>
      </c>
      <c r="BO299" s="1">
        <v>31910388.640000001</v>
      </c>
      <c r="BP299" s="1">
        <v>28049468.000000004</v>
      </c>
      <c r="BQ299" s="1">
        <v>20903044.890000001</v>
      </c>
      <c r="BR299" s="1">
        <v>19917305.52</v>
      </c>
      <c r="BS299" s="1">
        <v>49912781.349999994</v>
      </c>
      <c r="BT299" s="1">
        <v>42622335.030000001</v>
      </c>
      <c r="BU299" s="1">
        <v>52501086.159999996</v>
      </c>
      <c r="BV299" s="1">
        <v>61363320.630000003</v>
      </c>
      <c r="BW299" s="1">
        <v>46418382.399999999</v>
      </c>
      <c r="BX299" s="1">
        <v>38802414.940000005</v>
      </c>
      <c r="BY299" s="1">
        <v>52122665.980000004</v>
      </c>
      <c r="BZ299" s="1">
        <v>34430692.280000001</v>
      </c>
      <c r="CA299" s="1">
        <v>30352181.740000002</v>
      </c>
      <c r="CB299" s="1">
        <v>33470457.760000002</v>
      </c>
      <c r="CC299" s="1">
        <v>20881963.619999997</v>
      </c>
      <c r="CD299" s="1">
        <v>31448425.93</v>
      </c>
      <c r="CE299" s="1">
        <v>46385865.859999999</v>
      </c>
      <c r="CF299" s="1">
        <v>50299986.149999999</v>
      </c>
      <c r="CG299" s="1">
        <v>67844345.789999992</v>
      </c>
      <c r="CH299" s="1">
        <v>48529771.300000004</v>
      </c>
      <c r="CI299" s="1">
        <v>49936952.880000003</v>
      </c>
      <c r="CJ299" s="1">
        <v>39004612.920000002</v>
      </c>
      <c r="CK299" s="1">
        <v>56489089.969999999</v>
      </c>
      <c r="CL299" s="1">
        <v>35737611.729999997</v>
      </c>
      <c r="CM299" s="1">
        <v>37162599.180071004</v>
      </c>
      <c r="CN299" s="1">
        <v>26799031.630018998</v>
      </c>
      <c r="CO299" s="1">
        <v>18993864.322981998</v>
      </c>
      <c r="CP299" s="1">
        <v>30779775.780060999</v>
      </c>
      <c r="CQ299" s="1">
        <v>45496839.870235004</v>
      </c>
      <c r="CR299" s="1">
        <v>47389289.330129005</v>
      </c>
      <c r="CS299" s="1">
        <v>61900316.109999999</v>
      </c>
      <c r="CT299" s="1">
        <v>42441141.910000004</v>
      </c>
      <c r="CU299" s="1">
        <v>53402567.199999988</v>
      </c>
      <c r="CV299" s="1">
        <v>35163437</v>
      </c>
      <c r="CW299" s="1">
        <v>38372470.529999994</v>
      </c>
      <c r="CX299" s="1">
        <v>30657261.790063005</v>
      </c>
      <c r="CY299" s="1">
        <v>37700275.960029997</v>
      </c>
      <c r="CZ299" s="1">
        <v>31805300.679999996</v>
      </c>
      <c r="DA299" s="1">
        <v>23788653.900000002</v>
      </c>
      <c r="DB299" s="1">
        <v>34440219.32</v>
      </c>
      <c r="DC299" s="1">
        <v>0</v>
      </c>
      <c r="DD299" s="1">
        <v>0</v>
      </c>
      <c r="DE299" s="1">
        <v>0</v>
      </c>
      <c r="DF299" s="1">
        <v>0</v>
      </c>
      <c r="DH299" s="6">
        <f t="shared" si="115"/>
        <v>3555267076.3505907</v>
      </c>
    </row>
    <row r="300" spans="1:112" x14ac:dyDescent="0.2">
      <c r="A300" s="5" t="s">
        <v>39</v>
      </c>
      <c r="B300" s="5" t="s">
        <v>42</v>
      </c>
      <c r="C300" s="1"/>
      <c r="D300" s="1"/>
      <c r="E300" s="1"/>
      <c r="F300" s="1"/>
      <c r="G300" s="1"/>
      <c r="H300" s="1"/>
      <c r="I300" s="1"/>
      <c r="J300" s="1"/>
      <c r="K300" s="1">
        <v>0</v>
      </c>
      <c r="L300" s="1">
        <v>0</v>
      </c>
      <c r="M300" s="1">
        <v>0</v>
      </c>
      <c r="N300" s="1">
        <v>140142.25880000001</v>
      </c>
      <c r="O300" s="1">
        <v>1892380.3267000001</v>
      </c>
      <c r="P300" s="1">
        <v>2493726.4988000002</v>
      </c>
      <c r="Q300" s="1">
        <v>858940.86080000002</v>
      </c>
      <c r="R300" s="1">
        <v>0</v>
      </c>
      <c r="S300" s="1">
        <v>0</v>
      </c>
      <c r="T300" s="1">
        <v>0</v>
      </c>
      <c r="U300" s="1">
        <v>0</v>
      </c>
      <c r="V300" s="1">
        <v>825645.26</v>
      </c>
      <c r="W300" s="1">
        <v>9064093.6500000004</v>
      </c>
      <c r="X300" s="1">
        <v>12674865.909999998</v>
      </c>
      <c r="Y300" s="1">
        <v>20136030.93</v>
      </c>
      <c r="Z300" s="1">
        <v>13975746.52</v>
      </c>
      <c r="AA300" s="1">
        <v>19738096.800000001</v>
      </c>
      <c r="AB300" s="1">
        <v>32314731.309999999</v>
      </c>
      <c r="AC300" s="1">
        <v>10232153.5</v>
      </c>
      <c r="AD300" s="1">
        <v>1901698.4399999997</v>
      </c>
      <c r="AE300" s="1">
        <v>6035531.6200000001</v>
      </c>
      <c r="AF300" s="1">
        <v>5742050.9900000002</v>
      </c>
      <c r="AG300" s="1">
        <v>7791115.1300000008</v>
      </c>
      <c r="AH300" s="1">
        <v>34490067.730000004</v>
      </c>
      <c r="AI300" s="1">
        <v>50982779.559999995</v>
      </c>
      <c r="AJ300" s="1">
        <v>34914445.640000001</v>
      </c>
      <c r="AK300" s="1">
        <v>28410228.68</v>
      </c>
      <c r="AL300" s="1">
        <v>32801904.889999997</v>
      </c>
      <c r="AM300" s="1">
        <v>42896926.68</v>
      </c>
      <c r="AN300" s="1">
        <v>27092649.149999999</v>
      </c>
      <c r="AO300" s="1">
        <v>32279319.369999997</v>
      </c>
      <c r="AP300" s="1">
        <v>20899851.449999999</v>
      </c>
      <c r="AQ300" s="1">
        <v>23118784.57</v>
      </c>
      <c r="AR300" s="1">
        <v>20562104.640000001</v>
      </c>
      <c r="AS300" s="1">
        <v>15578482.190000001</v>
      </c>
      <c r="AT300" s="1">
        <v>16610565.440000001</v>
      </c>
      <c r="AU300" s="1">
        <v>34618299.789999999</v>
      </c>
      <c r="AV300" s="1">
        <v>58936442.11999999</v>
      </c>
      <c r="AW300" s="1">
        <v>68177842.859999999</v>
      </c>
      <c r="AX300" s="1">
        <v>45759722.620000005</v>
      </c>
      <c r="AY300" s="1">
        <v>62141387.840000004</v>
      </c>
      <c r="AZ300" s="1">
        <v>41234097.399999999</v>
      </c>
      <c r="BA300" s="1">
        <v>42170219.960000001</v>
      </c>
      <c r="BB300" s="1">
        <v>37890540.306999996</v>
      </c>
      <c r="BC300" s="1">
        <v>31938967.699999999</v>
      </c>
      <c r="BD300" s="1">
        <v>27260927.809999999</v>
      </c>
      <c r="BE300" s="1">
        <v>21023633.359999999</v>
      </c>
      <c r="BF300" s="1">
        <v>18820124.949999999</v>
      </c>
      <c r="BG300" s="1">
        <v>36845835.230000004</v>
      </c>
      <c r="BH300" s="1">
        <v>51677727.909999996</v>
      </c>
      <c r="BI300" s="1">
        <v>60806491.439999998</v>
      </c>
      <c r="BJ300" s="1">
        <v>57079967.900000006</v>
      </c>
      <c r="BK300" s="1">
        <v>38450605.289999999</v>
      </c>
      <c r="BL300" s="1">
        <v>35443679.18</v>
      </c>
      <c r="BM300" s="1">
        <v>38295725.489999995</v>
      </c>
      <c r="BN300" s="1">
        <v>42987807.609999999</v>
      </c>
      <c r="BO300" s="1">
        <v>29024310.32</v>
      </c>
      <c r="BP300" s="1">
        <v>25048483.130000003</v>
      </c>
      <c r="BQ300" s="1">
        <v>18660925.559999999</v>
      </c>
      <c r="BR300" s="1">
        <v>17632327.300000001</v>
      </c>
      <c r="BS300" s="1">
        <v>44632090.509999998</v>
      </c>
      <c r="BT300" s="1">
        <v>37494296.079999998</v>
      </c>
      <c r="BU300" s="1">
        <v>46531517.719999999</v>
      </c>
      <c r="BV300" s="1">
        <v>54825913.480000004</v>
      </c>
      <c r="BW300" s="1">
        <v>41284206.439999998</v>
      </c>
      <c r="BX300" s="1">
        <v>34962282.990000002</v>
      </c>
      <c r="BY300" s="1">
        <v>46630427.640000001</v>
      </c>
      <c r="BZ300" s="1">
        <v>31073274.780000001</v>
      </c>
      <c r="CA300" s="1">
        <v>27037059.210000001</v>
      </c>
      <c r="CB300" s="1">
        <v>29320263.990000002</v>
      </c>
      <c r="CC300" s="1">
        <v>18800001.199999999</v>
      </c>
      <c r="CD300" s="1">
        <v>27845765.259999998</v>
      </c>
      <c r="CE300" s="1">
        <v>41662239.359999999</v>
      </c>
      <c r="CF300" s="1">
        <v>45528657.75</v>
      </c>
      <c r="CG300" s="1">
        <v>61109952.909999996</v>
      </c>
      <c r="CH300" s="1">
        <v>44413536.940000005</v>
      </c>
      <c r="CI300" s="1">
        <v>45748384.920000002</v>
      </c>
      <c r="CJ300" s="1">
        <v>35328192.609999999</v>
      </c>
      <c r="CK300" s="1">
        <v>51159471.560000002</v>
      </c>
      <c r="CL300" s="1">
        <v>33212915.509999998</v>
      </c>
      <c r="CM300" s="1">
        <v>33374813.630000003</v>
      </c>
      <c r="CN300" s="1">
        <v>24296854.319999997</v>
      </c>
      <c r="CO300" s="1">
        <v>17428724.869999997</v>
      </c>
      <c r="CP300" s="1">
        <v>27323226.049999997</v>
      </c>
      <c r="CQ300" s="1">
        <v>41293822.260180004</v>
      </c>
      <c r="CR300" s="1">
        <v>43372266.670000002</v>
      </c>
      <c r="CS300" s="1">
        <v>56706218.75</v>
      </c>
      <c r="CT300" s="1">
        <v>39053860.270000003</v>
      </c>
      <c r="CU300" s="1">
        <v>48996856.50999999</v>
      </c>
      <c r="CV300" s="1">
        <v>32491122.399999999</v>
      </c>
      <c r="CW300" s="1">
        <v>34841085.019999996</v>
      </c>
      <c r="CX300" s="1">
        <v>28397385.980000004</v>
      </c>
      <c r="CY300" s="1">
        <v>34503469.269999996</v>
      </c>
      <c r="CZ300" s="1">
        <v>29393197.029999997</v>
      </c>
      <c r="DA300" s="1">
        <v>22046388.390000001</v>
      </c>
      <c r="DB300" s="1">
        <v>31992283.899999999</v>
      </c>
      <c r="DC300" s="1">
        <v>0</v>
      </c>
      <c r="DD300" s="1">
        <v>0</v>
      </c>
      <c r="DE300" s="1">
        <v>0</v>
      </c>
      <c r="DF300" s="1">
        <v>0</v>
      </c>
      <c r="DH300" s="6">
        <f t="shared" si="115"/>
        <v>2812493179.2522817</v>
      </c>
    </row>
    <row r="301" spans="1:112" x14ac:dyDescent="0.2">
      <c r="A301" s="5" t="s">
        <v>39</v>
      </c>
      <c r="B301" s="5" t="s">
        <v>43</v>
      </c>
      <c r="C301" s="1"/>
      <c r="D301" s="1"/>
      <c r="E301" s="1"/>
      <c r="F301" s="1"/>
      <c r="G301" s="1"/>
      <c r="H301" s="1"/>
      <c r="I301" s="1"/>
      <c r="J301" s="1"/>
      <c r="K301" s="1">
        <f t="shared" ref="K301:BO301" si="141">K299-K300</f>
        <v>7322254.9199999999</v>
      </c>
      <c r="L301" s="1">
        <f t="shared" si="141"/>
        <v>9735874.3599999994</v>
      </c>
      <c r="M301" s="1">
        <f t="shared" si="141"/>
        <v>12610479.740000002</v>
      </c>
      <c r="N301" s="1">
        <f t="shared" si="141"/>
        <v>16617110.4812</v>
      </c>
      <c r="O301" s="1">
        <f t="shared" si="141"/>
        <v>15916076.4933</v>
      </c>
      <c r="P301" s="1">
        <f t="shared" si="141"/>
        <v>14940965.1412</v>
      </c>
      <c r="Q301" s="1">
        <f t="shared" si="141"/>
        <v>16789693.299199998</v>
      </c>
      <c r="R301" s="1">
        <f t="shared" si="141"/>
        <v>10334721.77</v>
      </c>
      <c r="S301" s="1">
        <f t="shared" si="141"/>
        <v>8667939.1500000004</v>
      </c>
      <c r="T301" s="1">
        <f t="shared" si="141"/>
        <v>9671070.0299999975</v>
      </c>
      <c r="U301" s="1">
        <f t="shared" si="141"/>
        <v>5851318.1600000001</v>
      </c>
      <c r="V301" s="1">
        <f t="shared" si="141"/>
        <v>11831265.76</v>
      </c>
      <c r="W301" s="1">
        <f t="shared" si="141"/>
        <v>16555983.800000003</v>
      </c>
      <c r="X301" s="1">
        <f t="shared" si="141"/>
        <v>16296395.49</v>
      </c>
      <c r="Y301" s="1">
        <f t="shared" si="141"/>
        <v>20883686.380000003</v>
      </c>
      <c r="Z301" s="1">
        <f t="shared" si="141"/>
        <v>16366586.870000001</v>
      </c>
      <c r="AA301" s="1">
        <f t="shared" si="141"/>
        <v>15660299.580000002</v>
      </c>
      <c r="AB301" s="1">
        <f t="shared" si="141"/>
        <v>16159437.050000001</v>
      </c>
      <c r="AC301" s="1">
        <f t="shared" si="141"/>
        <v>4473146.120000001</v>
      </c>
      <c r="AD301" s="1">
        <f t="shared" si="141"/>
        <v>0</v>
      </c>
      <c r="AE301" s="1">
        <f t="shared" si="141"/>
        <v>0</v>
      </c>
      <c r="AF301" s="1">
        <f t="shared" si="141"/>
        <v>596567.40000000037</v>
      </c>
      <c r="AG301" s="1">
        <f t="shared" si="141"/>
        <v>2593703.2400000002</v>
      </c>
      <c r="AH301" s="1">
        <f t="shared" si="141"/>
        <v>11406933.200000003</v>
      </c>
      <c r="AI301" s="1">
        <f t="shared" si="141"/>
        <v>13450678.619999997</v>
      </c>
      <c r="AJ301" s="1">
        <f t="shared" si="141"/>
        <v>22236540.149999999</v>
      </c>
      <c r="AK301" s="1">
        <f t="shared" si="141"/>
        <v>20122213.57</v>
      </c>
      <c r="AL301" s="1">
        <f t="shared" si="141"/>
        <v>20434430.860000003</v>
      </c>
      <c r="AM301" s="1">
        <f t="shared" si="141"/>
        <v>24701423.490000002</v>
      </c>
      <c r="AN301" s="1">
        <f t="shared" si="141"/>
        <v>11120125.710000001</v>
      </c>
      <c r="AO301" s="1">
        <f t="shared" si="141"/>
        <v>10471910.280000001</v>
      </c>
      <c r="AP301" s="1">
        <f t="shared" si="141"/>
        <v>7175383.5</v>
      </c>
      <c r="AQ301" s="1">
        <f t="shared" si="141"/>
        <v>8740163.9200000018</v>
      </c>
      <c r="AR301" s="1">
        <f t="shared" si="141"/>
        <v>9361661.4100000001</v>
      </c>
      <c r="AS301" s="1">
        <f t="shared" si="141"/>
        <v>5711792.9000000022</v>
      </c>
      <c r="AT301" s="1">
        <f t="shared" si="141"/>
        <v>5739523.5800000019</v>
      </c>
      <c r="AU301" s="1">
        <f t="shared" si="141"/>
        <v>11112806.909999996</v>
      </c>
      <c r="AV301" s="1">
        <f t="shared" si="141"/>
        <v>17084621.489999995</v>
      </c>
      <c r="AW301" s="1">
        <f t="shared" si="141"/>
        <v>14920014.730000004</v>
      </c>
      <c r="AX301" s="1">
        <f t="shared" si="141"/>
        <v>11838728.68</v>
      </c>
      <c r="AY301" s="1">
        <f t="shared" si="141"/>
        <v>13671394.159999996</v>
      </c>
      <c r="AZ301" s="1">
        <f t="shared" si="141"/>
        <v>8037485.5500000045</v>
      </c>
      <c r="BA301" s="1">
        <f t="shared" si="141"/>
        <v>9543048.5899999961</v>
      </c>
      <c r="BB301" s="1">
        <f t="shared" si="141"/>
        <v>7743069.799999997</v>
      </c>
      <c r="BC301" s="1">
        <f t="shared" si="141"/>
        <v>5344916.2500000037</v>
      </c>
      <c r="BD301" s="1">
        <f t="shared" si="141"/>
        <v>6040276.370000001</v>
      </c>
      <c r="BE301" s="1">
        <f t="shared" si="141"/>
        <v>3994179.0199999996</v>
      </c>
      <c r="BF301" s="1">
        <f t="shared" si="141"/>
        <v>4278890.5599999987</v>
      </c>
      <c r="BG301" s="1">
        <f t="shared" si="141"/>
        <v>9053349.6700000018</v>
      </c>
      <c r="BH301" s="1">
        <f t="shared" si="141"/>
        <v>11301551.310000002</v>
      </c>
      <c r="BI301" s="1">
        <f t="shared" si="141"/>
        <v>9041548.2100000083</v>
      </c>
      <c r="BJ301" s="1">
        <f t="shared" si="141"/>
        <v>8879834</v>
      </c>
      <c r="BK301" s="1">
        <f t="shared" si="141"/>
        <v>6324310.0600000024</v>
      </c>
      <c r="BL301" s="1">
        <f t="shared" si="141"/>
        <v>4314517.8299999982</v>
      </c>
      <c r="BM301" s="1">
        <f t="shared" si="141"/>
        <v>4774115.8699999973</v>
      </c>
      <c r="BN301" s="1">
        <f t="shared" si="141"/>
        <v>3777758.1199999973</v>
      </c>
      <c r="BO301" s="1">
        <f t="shared" si="141"/>
        <v>2886078.3200000003</v>
      </c>
      <c r="BP301" s="1">
        <f>BP299-BP300</f>
        <v>3000984.870000001</v>
      </c>
      <c r="BQ301" s="1">
        <f t="shared" ref="BQ301:CC301" si="142">BQ299-BQ300</f>
        <v>2242119.3300000019</v>
      </c>
      <c r="BR301" s="1">
        <f t="shared" si="142"/>
        <v>2284978.2199999988</v>
      </c>
      <c r="BS301" s="1">
        <f t="shared" si="142"/>
        <v>5280690.8399999961</v>
      </c>
      <c r="BT301" s="1">
        <f t="shared" si="142"/>
        <v>5128038.950000003</v>
      </c>
      <c r="BU301" s="1">
        <f t="shared" si="142"/>
        <v>5969568.4399999976</v>
      </c>
      <c r="BV301" s="1">
        <f t="shared" si="142"/>
        <v>6537407.1499999985</v>
      </c>
      <c r="BW301" s="1">
        <f t="shared" si="142"/>
        <v>5134175.9600000009</v>
      </c>
      <c r="BX301" s="1">
        <f t="shared" si="142"/>
        <v>3840131.950000003</v>
      </c>
      <c r="BY301" s="1">
        <f t="shared" si="142"/>
        <v>5492238.3400000036</v>
      </c>
      <c r="BZ301" s="1">
        <f t="shared" si="142"/>
        <v>3357417.5</v>
      </c>
      <c r="CA301" s="1">
        <f t="shared" si="142"/>
        <v>3315122.5300000012</v>
      </c>
      <c r="CB301" s="1">
        <f t="shared" si="142"/>
        <v>4150193.7699999996</v>
      </c>
      <c r="CC301" s="1">
        <f t="shared" si="142"/>
        <v>2081962.4199999981</v>
      </c>
      <c r="CD301" s="1">
        <f>CD299-CD300</f>
        <v>3602660.6700000018</v>
      </c>
      <c r="CE301" s="1">
        <f>CE299-CE300</f>
        <v>4723626.5</v>
      </c>
      <c r="CF301" s="1">
        <f>CF299-CF300</f>
        <v>4771328.3999999985</v>
      </c>
      <c r="CG301" s="1">
        <f>CG299-CG300</f>
        <v>6734392.8799999952</v>
      </c>
      <c r="CH301" s="1">
        <f>CH299-CH300</f>
        <v>4116234.3599999994</v>
      </c>
      <c r="CI301" s="1">
        <f t="shared" ref="CI301:DF301" si="143">CI299-CI300</f>
        <v>4188567.9600000009</v>
      </c>
      <c r="CJ301" s="1">
        <f t="shared" si="143"/>
        <v>3676420.3100000024</v>
      </c>
      <c r="CK301" s="1">
        <f t="shared" si="143"/>
        <v>5329618.4099999964</v>
      </c>
      <c r="CL301" s="1">
        <f t="shared" si="143"/>
        <v>2524696.2199999988</v>
      </c>
      <c r="CM301" s="1">
        <f t="shared" si="143"/>
        <v>3787785.5500710011</v>
      </c>
      <c r="CN301" s="1">
        <f t="shared" si="143"/>
        <v>2502177.3100190014</v>
      </c>
      <c r="CO301" s="1">
        <f t="shared" si="143"/>
        <v>1565139.452982001</v>
      </c>
      <c r="CP301" s="1">
        <f t="shared" si="143"/>
        <v>3456549.7300610021</v>
      </c>
      <c r="CQ301" s="1">
        <f t="shared" si="143"/>
        <v>4203017.6100549996</v>
      </c>
      <c r="CR301" s="1">
        <f t="shared" si="143"/>
        <v>4017022.6601290032</v>
      </c>
      <c r="CS301" s="1">
        <f t="shared" si="143"/>
        <v>5194097.3599999994</v>
      </c>
      <c r="CT301" s="1">
        <f t="shared" si="143"/>
        <v>3387281.6400000006</v>
      </c>
      <c r="CU301" s="1">
        <f t="shared" si="143"/>
        <v>4405710.6899999976</v>
      </c>
      <c r="CV301" s="1">
        <f t="shared" si="143"/>
        <v>2672314.6000000015</v>
      </c>
      <c r="CW301" s="1">
        <f t="shared" si="143"/>
        <v>3531385.5099999979</v>
      </c>
      <c r="CX301" s="1">
        <f t="shared" si="143"/>
        <v>2259875.8100630008</v>
      </c>
      <c r="CY301" s="1">
        <f t="shared" si="143"/>
        <v>3196806.6900300011</v>
      </c>
      <c r="CZ301" s="1">
        <f t="shared" si="143"/>
        <v>2412103.6499999985</v>
      </c>
      <c r="DA301" s="1">
        <f t="shared" si="143"/>
        <v>1742265.5100000016</v>
      </c>
      <c r="DB301" s="1">
        <f t="shared" si="143"/>
        <v>2447935.4200000018</v>
      </c>
      <c r="DC301" s="1">
        <f t="shared" si="143"/>
        <v>0</v>
      </c>
      <c r="DD301" s="1">
        <f t="shared" si="143"/>
        <v>0</v>
      </c>
      <c r="DE301" s="1">
        <f t="shared" si="143"/>
        <v>0</v>
      </c>
      <c r="DF301" s="1">
        <f t="shared" si="143"/>
        <v>0</v>
      </c>
      <c r="DH301" s="6">
        <f t="shared" si="115"/>
        <v>742773897.09831011</v>
      </c>
    </row>
    <row r="302" spans="1:112" x14ac:dyDescent="0.2">
      <c r="A302" s="5" t="s">
        <v>39</v>
      </c>
      <c r="B302" s="5" t="s">
        <v>5</v>
      </c>
      <c r="C302" s="1"/>
      <c r="D302" s="1"/>
      <c r="E302" s="1"/>
      <c r="F302" s="1"/>
      <c r="G302" s="1"/>
      <c r="H302" s="1"/>
      <c r="I302" s="1"/>
      <c r="J302" s="1"/>
      <c r="K302" s="1">
        <v>2129235.2899999996</v>
      </c>
      <c r="L302" s="1">
        <v>1010246.0599999996</v>
      </c>
      <c r="M302" s="1">
        <v>641582.69999999972</v>
      </c>
      <c r="N302" s="1">
        <v>2766943.7</v>
      </c>
      <c r="O302" s="1">
        <v>802167.45</v>
      </c>
      <c r="P302" s="1">
        <v>371276.66000000003</v>
      </c>
      <c r="Q302" s="1">
        <v>2341398.7200000002</v>
      </c>
      <c r="R302" s="1">
        <v>554880.55999999994</v>
      </c>
      <c r="S302" s="1">
        <v>615153.06000000006</v>
      </c>
      <c r="T302" s="1">
        <v>701140.14999999991</v>
      </c>
      <c r="U302" s="1">
        <v>682213.53</v>
      </c>
      <c r="V302" s="1">
        <v>1549585.2899999998</v>
      </c>
      <c r="W302" s="1">
        <v>3755760.0999999996</v>
      </c>
      <c r="X302" s="1">
        <v>4573240.49</v>
      </c>
      <c r="Y302" s="1">
        <v>872645.45000000054</v>
      </c>
      <c r="Z302" s="1">
        <v>2322915</v>
      </c>
      <c r="AA302" s="1">
        <v>2203188.8999999994</v>
      </c>
      <c r="AB302" s="1">
        <v>821614.21999999788</v>
      </c>
      <c r="AC302" s="1">
        <v>1101454.4299999997</v>
      </c>
      <c r="AD302" s="1">
        <v>124414.70000000001</v>
      </c>
      <c r="AE302" s="1">
        <v>571830.81999999983</v>
      </c>
      <c r="AF302" s="1">
        <v>567836.13999999978</v>
      </c>
      <c r="AG302" s="1">
        <v>1212677.7499999998</v>
      </c>
      <c r="AH302" s="1">
        <v>2337228.9400000018</v>
      </c>
      <c r="AI302" s="1">
        <v>4119539.4799999986</v>
      </c>
      <c r="AJ302" s="1">
        <v>4227050.41</v>
      </c>
      <c r="AK302" s="1">
        <v>4407576.2500000009</v>
      </c>
      <c r="AL302" s="1">
        <v>4761107.9799999967</v>
      </c>
      <c r="AM302" s="1">
        <v>5681382.2800000003</v>
      </c>
      <c r="AN302" s="1">
        <v>1364160.7999999989</v>
      </c>
      <c r="AO302" s="1">
        <v>3889446.7799999993</v>
      </c>
      <c r="AP302" s="1">
        <v>2197505.1500000013</v>
      </c>
      <c r="AQ302" s="1">
        <v>3334579.67</v>
      </c>
      <c r="AR302" s="1">
        <v>3466223.3000000007</v>
      </c>
      <c r="AS302" s="1">
        <v>2295742.7400000002</v>
      </c>
      <c r="AT302" s="1">
        <v>1993383.3200000003</v>
      </c>
      <c r="AU302" s="1">
        <v>6018957.959999999</v>
      </c>
      <c r="AV302" s="1">
        <v>3789329.71</v>
      </c>
      <c r="AW302" s="1">
        <v>6284869.4399999985</v>
      </c>
      <c r="AX302" s="1">
        <v>5148245.42</v>
      </c>
      <c r="AY302" s="1">
        <v>5127142.3899999987</v>
      </c>
      <c r="AZ302" s="1">
        <v>1954998.850000001</v>
      </c>
      <c r="BA302" s="1">
        <v>3384269.7500000009</v>
      </c>
      <c r="BB302" s="1">
        <v>3033505.1369999996</v>
      </c>
      <c r="BC302" s="1">
        <v>3415583.24</v>
      </c>
      <c r="BD302" s="1">
        <v>2399574.3699999996</v>
      </c>
      <c r="BE302" s="1">
        <v>2616578.4390000002</v>
      </c>
      <c r="BF302" s="1">
        <v>2899581.94</v>
      </c>
      <c r="BG302" s="1">
        <v>6444273.6899999995</v>
      </c>
      <c r="BH302" s="1">
        <v>6720471.5399999982</v>
      </c>
      <c r="BI302" s="1">
        <v>5017553.5900000045</v>
      </c>
      <c r="BJ302" s="1">
        <v>8690853.200000003</v>
      </c>
      <c r="BK302" s="1">
        <v>3658912.6899999981</v>
      </c>
      <c r="BL302" s="1">
        <v>2788228.4300000006</v>
      </c>
      <c r="BM302" s="1">
        <v>4209825.9099999992</v>
      </c>
      <c r="BN302" s="1">
        <v>3494508.2299999981</v>
      </c>
      <c r="BO302" s="1">
        <v>3464246.85</v>
      </c>
      <c r="BP302" s="1">
        <v>2610087.4300000002</v>
      </c>
      <c r="BQ302" s="1">
        <v>2511984.9069999997</v>
      </c>
      <c r="BR302" s="1">
        <v>2337102.6100000003</v>
      </c>
      <c r="BS302" s="1">
        <v>4799912.7599999979</v>
      </c>
      <c r="BT302" s="1">
        <v>6129640.1699999999</v>
      </c>
      <c r="BU302" s="1">
        <v>4746248.9100000011</v>
      </c>
      <c r="BV302" s="1">
        <v>6813639.4700000025</v>
      </c>
      <c r="BW302" s="1">
        <v>6025132.4500000002</v>
      </c>
      <c r="BX302" s="1">
        <v>3743786.4099999978</v>
      </c>
      <c r="BY302" s="1">
        <v>4711512.0999999978</v>
      </c>
      <c r="BZ302" s="1">
        <v>3551227.2500000005</v>
      </c>
      <c r="CA302" s="1">
        <v>3441033.2699999996</v>
      </c>
      <c r="CB302" s="1">
        <v>3969961.5410000021</v>
      </c>
      <c r="CC302" s="1">
        <v>2761663.4300000006</v>
      </c>
      <c r="CD302" s="1">
        <v>4404834.12</v>
      </c>
      <c r="CE302" s="1">
        <v>7113550.4100000011</v>
      </c>
      <c r="CF302" s="1">
        <v>4560213.169999999</v>
      </c>
      <c r="CG302" s="1">
        <v>8000804.8800000027</v>
      </c>
      <c r="CH302" s="1">
        <v>3524786.4200000013</v>
      </c>
      <c r="CI302" s="1">
        <v>5779801</v>
      </c>
      <c r="CJ302" s="1">
        <v>4529706.8800000008</v>
      </c>
      <c r="CK302" s="1">
        <v>3051155.0399999963</v>
      </c>
      <c r="CL302" s="1">
        <v>3660279.8099999987</v>
      </c>
      <c r="CM302" s="1">
        <v>5371273.3680669991</v>
      </c>
      <c r="CN302" s="1">
        <v>4004447.5400189995</v>
      </c>
      <c r="CO302" s="1">
        <v>2602357.1629840005</v>
      </c>
      <c r="CP302" s="1">
        <v>5189344.8700529989</v>
      </c>
      <c r="CQ302" s="1">
        <v>6265792.5706769992</v>
      </c>
      <c r="CR302" s="1">
        <v>3714615.6101790038</v>
      </c>
      <c r="CS302" s="1">
        <v>9059189.7000000011</v>
      </c>
      <c r="CT302" s="1">
        <v>6045673.1799999978</v>
      </c>
      <c r="CU302" s="1">
        <v>7096769.4099999983</v>
      </c>
      <c r="CV302" s="1">
        <v>3729872.0100000012</v>
      </c>
      <c r="CW302" s="1">
        <v>3843762.8400000003</v>
      </c>
      <c r="CX302" s="1">
        <v>3842817.6700640013</v>
      </c>
      <c r="CY302" s="1">
        <v>5356833.0600280017</v>
      </c>
      <c r="CZ302" s="1">
        <v>2851835.2860000012</v>
      </c>
      <c r="DA302" s="1">
        <v>3022961.8400000003</v>
      </c>
      <c r="DB302" s="1">
        <v>3386052.6999999997</v>
      </c>
      <c r="DC302" s="1">
        <v>0</v>
      </c>
      <c r="DD302" s="1">
        <v>0</v>
      </c>
      <c r="DE302" s="1">
        <v>0</v>
      </c>
      <c r="DF302" s="1">
        <v>0</v>
      </c>
      <c r="DH302" s="6">
        <f t="shared" si="115"/>
        <v>345091502.3020708</v>
      </c>
    </row>
    <row r="303" spans="1:112" x14ac:dyDescent="0.2">
      <c r="A303" s="5" t="s">
        <v>39</v>
      </c>
      <c r="B303" s="5" t="s">
        <v>44</v>
      </c>
      <c r="C303" s="1"/>
      <c r="D303" s="1"/>
      <c r="E303" s="1"/>
      <c r="F303" s="1"/>
      <c r="G303" s="1"/>
      <c r="H303" s="1"/>
      <c r="I303" s="1"/>
      <c r="J303" s="1"/>
      <c r="K303" s="1">
        <v>0</v>
      </c>
      <c r="L303" s="1">
        <v>0</v>
      </c>
      <c r="M303" s="1">
        <v>0</v>
      </c>
      <c r="N303" s="1">
        <v>25630.639999999999</v>
      </c>
      <c r="O303" s="1">
        <v>204587.30000000002</v>
      </c>
      <c r="P303" s="1">
        <v>254945.07</v>
      </c>
      <c r="Q303" s="1">
        <v>185280.34999999998</v>
      </c>
      <c r="R303" s="1">
        <v>-62865.75</v>
      </c>
      <c r="S303" s="1">
        <v>0</v>
      </c>
      <c r="T303" s="1">
        <v>0</v>
      </c>
      <c r="U303" s="1">
        <v>-2738.85</v>
      </c>
      <c r="V303" s="1">
        <v>25035.020000000019</v>
      </c>
      <c r="W303" s="1">
        <v>1034064.11</v>
      </c>
      <c r="X303" s="1">
        <v>1826505.7000000004</v>
      </c>
      <c r="Y303" s="1">
        <v>729109.48000000021</v>
      </c>
      <c r="Z303" s="1">
        <v>1082750.58</v>
      </c>
      <c r="AA303" s="1">
        <v>970873.01999999979</v>
      </c>
      <c r="AB303" s="1">
        <v>643898.79999999772</v>
      </c>
      <c r="AC303" s="1">
        <v>1084091.1099999996</v>
      </c>
      <c r="AD303" s="1">
        <v>124414.70000000001</v>
      </c>
      <c r="AE303" s="1">
        <v>571830.81999999983</v>
      </c>
      <c r="AF303" s="1">
        <v>674223.17999999982</v>
      </c>
      <c r="AG303" s="1">
        <v>774801.18999999959</v>
      </c>
      <c r="AH303" s="1">
        <v>1205848.700000002</v>
      </c>
      <c r="AI303" s="1">
        <v>1866609.6899999983</v>
      </c>
      <c r="AJ303" s="1">
        <v>2516870.8599999994</v>
      </c>
      <c r="AK303" s="1">
        <v>2475133.9800000004</v>
      </c>
      <c r="AL303" s="1">
        <v>2421103.6699999981</v>
      </c>
      <c r="AM303" s="1">
        <v>3098425.75</v>
      </c>
      <c r="AN303" s="1">
        <v>1026236.6799999995</v>
      </c>
      <c r="AO303" s="1">
        <v>2638068.09</v>
      </c>
      <c r="AP303" s="1">
        <v>1781498.9600000011</v>
      </c>
      <c r="AQ303" s="1">
        <v>2112027.6800000002</v>
      </c>
      <c r="AR303" s="1">
        <v>2038127.2300000007</v>
      </c>
      <c r="AS303" s="1">
        <v>1771326.4699999997</v>
      </c>
      <c r="AT303" s="1">
        <v>1278230.3600000003</v>
      </c>
      <c r="AU303" s="1">
        <v>3141776.669999999</v>
      </c>
      <c r="AV303" s="1">
        <v>2376292.5499999998</v>
      </c>
      <c r="AW303" s="1">
        <v>4570241.7599999988</v>
      </c>
      <c r="AX303" s="1">
        <v>4127911.1300000008</v>
      </c>
      <c r="AY303" s="1">
        <v>3765545.3099999987</v>
      </c>
      <c r="AZ303" s="1">
        <v>2037303.7100000009</v>
      </c>
      <c r="BA303" s="1">
        <v>2667289.2000000007</v>
      </c>
      <c r="BB303" s="1">
        <v>3158058.7469999995</v>
      </c>
      <c r="BC303" s="1">
        <v>2563757.1600000006</v>
      </c>
      <c r="BD303" s="1">
        <v>2074696.1299999997</v>
      </c>
      <c r="BE303" s="1">
        <v>2036156.5590000001</v>
      </c>
      <c r="BF303" s="1">
        <v>2113455.89</v>
      </c>
      <c r="BG303" s="1">
        <v>4431772.5199999996</v>
      </c>
      <c r="BH303" s="1">
        <v>4767806.2199999979</v>
      </c>
      <c r="BI303" s="1">
        <v>4262624.4200000037</v>
      </c>
      <c r="BJ303" s="1">
        <v>8142796.0900000017</v>
      </c>
      <c r="BK303" s="1">
        <v>3812231.4099999983</v>
      </c>
      <c r="BL303" s="1">
        <v>3354934.2000000011</v>
      </c>
      <c r="BM303" s="1">
        <v>3790543.5699999989</v>
      </c>
      <c r="BN303" s="1">
        <v>3355786.5799999982</v>
      </c>
      <c r="BO303" s="1">
        <v>3221977.16</v>
      </c>
      <c r="BP303" s="1">
        <v>2544030.25</v>
      </c>
      <c r="BQ303" s="1">
        <v>2070334.0669999996</v>
      </c>
      <c r="BR303" s="1">
        <v>2058016.4800000004</v>
      </c>
      <c r="BS303" s="1">
        <v>3958530.5099999974</v>
      </c>
      <c r="BT303" s="1">
        <v>5699654.1200000001</v>
      </c>
      <c r="BU303" s="1">
        <v>4401921.4700000007</v>
      </c>
      <c r="BV303" s="1">
        <v>5421814.9800000023</v>
      </c>
      <c r="BW303" s="1">
        <v>5509543.0300000003</v>
      </c>
      <c r="BX303" s="1">
        <v>3893432.6399999978</v>
      </c>
      <c r="BY303" s="1">
        <v>4160309.8799999985</v>
      </c>
      <c r="BZ303" s="1">
        <v>3551250.0100000002</v>
      </c>
      <c r="CA303" s="1">
        <v>3324182.38</v>
      </c>
      <c r="CB303" s="1">
        <v>3342209.7910000016</v>
      </c>
      <c r="CC303" s="1">
        <v>2361144.7200000007</v>
      </c>
      <c r="CD303" s="1">
        <v>3635952.9700000007</v>
      </c>
      <c r="CE303" s="1">
        <v>6110151.1800000016</v>
      </c>
      <c r="CF303" s="1">
        <v>4173790.7699999986</v>
      </c>
      <c r="CG303" s="1">
        <v>7469685.5700000031</v>
      </c>
      <c r="CH303" s="1">
        <v>3459469.0700000012</v>
      </c>
      <c r="CI303" s="1">
        <v>5719422.3300000001</v>
      </c>
      <c r="CJ303" s="1">
        <v>4349887.9600000009</v>
      </c>
      <c r="CK303" s="1">
        <v>2433872.9199999962</v>
      </c>
      <c r="CL303" s="1">
        <v>3738031.2199999988</v>
      </c>
      <c r="CM303" s="1">
        <v>5084784.3399999989</v>
      </c>
      <c r="CN303" s="1">
        <v>3780813.6599999992</v>
      </c>
      <c r="CO303" s="1">
        <v>2480635.2700000005</v>
      </c>
      <c r="CP303" s="1">
        <v>4483736.5299999993</v>
      </c>
      <c r="CQ303" s="1">
        <v>5705858.1706069997</v>
      </c>
      <c r="CR303" s="1">
        <v>3465069.3100640038</v>
      </c>
      <c r="CS303" s="1">
        <v>8377186.5900000017</v>
      </c>
      <c r="CT303" s="1">
        <v>5472533.2099999981</v>
      </c>
      <c r="CU303" s="1">
        <v>6881070.5999999987</v>
      </c>
      <c r="CV303" s="1">
        <v>3738929.4900000012</v>
      </c>
      <c r="CW303" s="1">
        <v>3388011.91</v>
      </c>
      <c r="CX303" s="1">
        <v>3652158.1100000013</v>
      </c>
      <c r="CY303" s="1">
        <v>5076132.3400000017</v>
      </c>
      <c r="CZ303" s="1">
        <v>2624485.3760000011</v>
      </c>
      <c r="DA303" s="1">
        <v>2935517.4400000004</v>
      </c>
      <c r="DB303" s="1">
        <v>3139870.5799999996</v>
      </c>
      <c r="DC303" s="1">
        <v>0</v>
      </c>
      <c r="DD303" s="1">
        <v>0</v>
      </c>
      <c r="DE303" s="1">
        <v>0</v>
      </c>
      <c r="DF303" s="1">
        <v>0</v>
      </c>
      <c r="DH303" s="6">
        <f t="shared" si="115"/>
        <v>273822332.82067102</v>
      </c>
    </row>
    <row r="304" spans="1:112" x14ac:dyDescent="0.2">
      <c r="A304" s="5" t="s">
        <v>39</v>
      </c>
      <c r="B304" s="5" t="s">
        <v>45</v>
      </c>
      <c r="C304" s="1"/>
      <c r="D304" s="1"/>
      <c r="E304" s="1"/>
      <c r="F304" s="1"/>
      <c r="G304" s="1"/>
      <c r="H304" s="1"/>
      <c r="I304" s="1"/>
      <c r="J304" s="1"/>
      <c r="K304" s="1">
        <f t="shared" ref="K304:BO304" si="144">K302-K303</f>
        <v>2129235.2899999996</v>
      </c>
      <c r="L304" s="1">
        <f t="shared" si="144"/>
        <v>1010246.0599999996</v>
      </c>
      <c r="M304" s="1">
        <f t="shared" si="144"/>
        <v>641582.69999999972</v>
      </c>
      <c r="N304" s="1">
        <f t="shared" si="144"/>
        <v>2741313.06</v>
      </c>
      <c r="O304" s="1">
        <f t="shared" si="144"/>
        <v>597580.14999999991</v>
      </c>
      <c r="P304" s="1">
        <f t="shared" si="144"/>
        <v>116331.59000000003</v>
      </c>
      <c r="Q304" s="1">
        <f t="shared" si="144"/>
        <v>2156118.37</v>
      </c>
      <c r="R304" s="1">
        <f t="shared" si="144"/>
        <v>617746.30999999994</v>
      </c>
      <c r="S304" s="1">
        <f t="shared" si="144"/>
        <v>615153.06000000006</v>
      </c>
      <c r="T304" s="1">
        <f t="shared" si="144"/>
        <v>701140.14999999991</v>
      </c>
      <c r="U304" s="1">
        <f t="shared" si="144"/>
        <v>684952.38</v>
      </c>
      <c r="V304" s="1">
        <f t="shared" si="144"/>
        <v>1524550.2699999998</v>
      </c>
      <c r="W304" s="1">
        <f t="shared" si="144"/>
        <v>2721695.9899999998</v>
      </c>
      <c r="X304" s="1">
        <f t="shared" si="144"/>
        <v>2746734.79</v>
      </c>
      <c r="Y304" s="1">
        <f t="shared" si="144"/>
        <v>143535.97000000032</v>
      </c>
      <c r="Z304" s="1">
        <f t="shared" si="144"/>
        <v>1240164.42</v>
      </c>
      <c r="AA304" s="1">
        <f t="shared" si="144"/>
        <v>1232315.8799999997</v>
      </c>
      <c r="AB304" s="1">
        <f t="shared" si="144"/>
        <v>177715.42000000016</v>
      </c>
      <c r="AC304" s="1">
        <f t="shared" si="144"/>
        <v>17363.320000000065</v>
      </c>
      <c r="AD304" s="1">
        <f t="shared" si="144"/>
        <v>0</v>
      </c>
      <c r="AE304" s="1">
        <f t="shared" si="144"/>
        <v>0</v>
      </c>
      <c r="AF304" s="1">
        <f t="shared" si="144"/>
        <v>-106387.04000000004</v>
      </c>
      <c r="AG304" s="1">
        <f t="shared" si="144"/>
        <v>437876.56000000017</v>
      </c>
      <c r="AH304" s="1">
        <f t="shared" si="144"/>
        <v>1131380.2399999998</v>
      </c>
      <c r="AI304" s="1">
        <f t="shared" si="144"/>
        <v>2252929.79</v>
      </c>
      <c r="AJ304" s="1">
        <f t="shared" si="144"/>
        <v>1710179.5500000007</v>
      </c>
      <c r="AK304" s="1">
        <f t="shared" si="144"/>
        <v>1932442.2700000005</v>
      </c>
      <c r="AL304" s="1">
        <f t="shared" si="144"/>
        <v>2340004.3099999987</v>
      </c>
      <c r="AM304" s="1">
        <f t="shared" si="144"/>
        <v>2582956.5300000003</v>
      </c>
      <c r="AN304" s="1">
        <f t="shared" si="144"/>
        <v>337924.11999999941</v>
      </c>
      <c r="AO304" s="1">
        <f t="shared" si="144"/>
        <v>1251378.6899999995</v>
      </c>
      <c r="AP304" s="1">
        <f t="shared" si="144"/>
        <v>416006.19000000018</v>
      </c>
      <c r="AQ304" s="1">
        <f t="shared" si="144"/>
        <v>1222551.9899999998</v>
      </c>
      <c r="AR304" s="1">
        <f t="shared" si="144"/>
        <v>1428096.07</v>
      </c>
      <c r="AS304" s="1">
        <f t="shared" si="144"/>
        <v>524416.27000000048</v>
      </c>
      <c r="AT304" s="1">
        <f t="shared" si="144"/>
        <v>715152.96</v>
      </c>
      <c r="AU304" s="1">
        <f t="shared" si="144"/>
        <v>2877181.29</v>
      </c>
      <c r="AV304" s="1">
        <f t="shared" si="144"/>
        <v>1413037.1600000001</v>
      </c>
      <c r="AW304" s="1">
        <f t="shared" si="144"/>
        <v>1714627.6799999997</v>
      </c>
      <c r="AX304" s="1">
        <f t="shared" si="144"/>
        <v>1020334.2899999991</v>
      </c>
      <c r="AY304" s="1">
        <f t="shared" si="144"/>
        <v>1361597.08</v>
      </c>
      <c r="AZ304" s="1">
        <f t="shared" si="144"/>
        <v>-82304.85999999987</v>
      </c>
      <c r="BA304" s="1">
        <f t="shared" si="144"/>
        <v>716980.55000000028</v>
      </c>
      <c r="BB304" s="1">
        <f t="shared" si="144"/>
        <v>-124553.60999999987</v>
      </c>
      <c r="BC304" s="1">
        <f t="shared" si="144"/>
        <v>851826.07999999961</v>
      </c>
      <c r="BD304" s="1">
        <f t="shared" si="144"/>
        <v>324878.24</v>
      </c>
      <c r="BE304" s="1">
        <f t="shared" si="144"/>
        <v>580421.88000000012</v>
      </c>
      <c r="BF304" s="1">
        <f t="shared" si="144"/>
        <v>786126.04999999981</v>
      </c>
      <c r="BG304" s="1">
        <f t="shared" si="144"/>
        <v>2012501.17</v>
      </c>
      <c r="BH304" s="1">
        <f t="shared" si="144"/>
        <v>1952665.3200000003</v>
      </c>
      <c r="BI304" s="1">
        <f t="shared" si="144"/>
        <v>754929.17000000086</v>
      </c>
      <c r="BJ304" s="1">
        <f t="shared" si="144"/>
        <v>548057.11000000127</v>
      </c>
      <c r="BK304" s="1">
        <f t="shared" si="144"/>
        <v>-153318.7200000002</v>
      </c>
      <c r="BL304" s="1">
        <f t="shared" si="144"/>
        <v>-566705.77000000048</v>
      </c>
      <c r="BM304" s="1">
        <f t="shared" si="144"/>
        <v>419282.34000000032</v>
      </c>
      <c r="BN304" s="1">
        <f t="shared" si="144"/>
        <v>138721.64999999991</v>
      </c>
      <c r="BO304" s="1">
        <f t="shared" si="144"/>
        <v>242269.68999999994</v>
      </c>
      <c r="BP304" s="1">
        <f>BP302-BP303</f>
        <v>66057.180000000168</v>
      </c>
      <c r="BQ304" s="1">
        <f t="shared" ref="BQ304:CC304" si="145">BQ302-BQ303</f>
        <v>441650.84000000008</v>
      </c>
      <c r="BR304" s="1">
        <f t="shared" si="145"/>
        <v>279086.12999999989</v>
      </c>
      <c r="BS304" s="1">
        <f t="shared" si="145"/>
        <v>841382.25000000047</v>
      </c>
      <c r="BT304" s="1">
        <f t="shared" si="145"/>
        <v>429986.04999999981</v>
      </c>
      <c r="BU304" s="1">
        <f t="shared" si="145"/>
        <v>344327.44000000041</v>
      </c>
      <c r="BV304" s="1">
        <f t="shared" si="145"/>
        <v>1391824.4900000002</v>
      </c>
      <c r="BW304" s="1">
        <f t="shared" si="145"/>
        <v>515589.41999999993</v>
      </c>
      <c r="BX304" s="1">
        <f t="shared" si="145"/>
        <v>-149646.22999999998</v>
      </c>
      <c r="BY304" s="1">
        <f t="shared" si="145"/>
        <v>551202.21999999927</v>
      </c>
      <c r="BZ304" s="1">
        <f t="shared" si="145"/>
        <v>-22.759999999776483</v>
      </c>
      <c r="CA304" s="1">
        <f t="shared" si="145"/>
        <v>116850.88999999966</v>
      </c>
      <c r="CB304" s="1">
        <f t="shared" si="145"/>
        <v>627751.75000000047</v>
      </c>
      <c r="CC304" s="1">
        <f t="shared" si="145"/>
        <v>400518.70999999996</v>
      </c>
      <c r="CD304" s="1">
        <f>CD302-CD303</f>
        <v>768881.14999999944</v>
      </c>
      <c r="CE304" s="1">
        <f>CE302-CE303</f>
        <v>1003399.2299999995</v>
      </c>
      <c r="CF304" s="1">
        <f>CF302-CF303</f>
        <v>386422.40000000037</v>
      </c>
      <c r="CG304" s="1">
        <f>CG302-CG303</f>
        <v>531119.30999999959</v>
      </c>
      <c r="CH304" s="1">
        <f>CH302-CH303</f>
        <v>65317.350000000093</v>
      </c>
      <c r="CI304" s="1">
        <f t="shared" ref="CI304:DF304" si="146">CI302-CI303</f>
        <v>60378.669999999925</v>
      </c>
      <c r="CJ304" s="1">
        <f t="shared" si="146"/>
        <v>179818.91999999993</v>
      </c>
      <c r="CK304" s="1">
        <f t="shared" si="146"/>
        <v>617282.12000000011</v>
      </c>
      <c r="CL304" s="1">
        <f t="shared" si="146"/>
        <v>-77751.410000000149</v>
      </c>
      <c r="CM304" s="1">
        <f t="shared" si="146"/>
        <v>286489.02806700021</v>
      </c>
      <c r="CN304" s="1">
        <f t="shared" si="146"/>
        <v>223633.88001900027</v>
      </c>
      <c r="CO304" s="1">
        <f t="shared" si="146"/>
        <v>121721.89298400003</v>
      </c>
      <c r="CP304" s="1">
        <f t="shared" si="146"/>
        <v>705608.34005299956</v>
      </c>
      <c r="CQ304" s="1">
        <f t="shared" si="146"/>
        <v>559934.40006999951</v>
      </c>
      <c r="CR304" s="1">
        <f t="shared" si="146"/>
        <v>249546.30011499999</v>
      </c>
      <c r="CS304" s="1">
        <f t="shared" si="146"/>
        <v>682003.1099999994</v>
      </c>
      <c r="CT304" s="1">
        <f t="shared" si="146"/>
        <v>573139.96999999974</v>
      </c>
      <c r="CU304" s="1">
        <f t="shared" si="146"/>
        <v>215698.80999999959</v>
      </c>
      <c r="CV304" s="1">
        <f t="shared" si="146"/>
        <v>-9057.4799999999814</v>
      </c>
      <c r="CW304" s="1">
        <f t="shared" si="146"/>
        <v>455750.93000000017</v>
      </c>
      <c r="CX304" s="1">
        <f t="shared" si="146"/>
        <v>190659.56006400008</v>
      </c>
      <c r="CY304" s="1">
        <f t="shared" si="146"/>
        <v>280700.72002799995</v>
      </c>
      <c r="CZ304" s="1">
        <f t="shared" si="146"/>
        <v>227349.91000000015</v>
      </c>
      <c r="DA304" s="1">
        <f t="shared" si="146"/>
        <v>87444.399999999907</v>
      </c>
      <c r="DB304" s="1">
        <f t="shared" si="146"/>
        <v>246182.12000000011</v>
      </c>
      <c r="DC304" s="1">
        <f t="shared" si="146"/>
        <v>0</v>
      </c>
      <c r="DD304" s="1">
        <f t="shared" si="146"/>
        <v>0</v>
      </c>
      <c r="DE304" s="1">
        <f t="shared" si="146"/>
        <v>0</v>
      </c>
      <c r="DF304" s="1">
        <f t="shared" si="146"/>
        <v>0</v>
      </c>
      <c r="DH304" s="6">
        <f t="shared" si="115"/>
        <v>71269169.481400013</v>
      </c>
    </row>
    <row r="305" spans="1:113" x14ac:dyDescent="0.2">
      <c r="A305" s="5" t="s">
        <v>39</v>
      </c>
      <c r="B305" s="5" t="s">
        <v>6</v>
      </c>
      <c r="C305" s="1"/>
      <c r="D305" s="1"/>
      <c r="E305" s="1"/>
      <c r="F305" s="1"/>
      <c r="G305" s="1"/>
      <c r="H305" s="1"/>
      <c r="I305" s="1"/>
      <c r="J305" s="1"/>
      <c r="K305" s="1">
        <v>2129235.2899999996</v>
      </c>
      <c r="L305" s="1">
        <v>1010246.0599999996</v>
      </c>
      <c r="M305" s="1">
        <v>641582.69999999972</v>
      </c>
      <c r="N305" s="1">
        <v>2766943.7</v>
      </c>
      <c r="O305" s="1">
        <v>802167.45</v>
      </c>
      <c r="P305" s="1">
        <v>371276.66000000003</v>
      </c>
      <c r="Q305" s="1">
        <v>2341398.7200000002</v>
      </c>
      <c r="R305" s="1">
        <v>554880.55999999994</v>
      </c>
      <c r="S305" s="1">
        <v>615153.06000000006</v>
      </c>
      <c r="T305" s="1">
        <v>701140.14999999991</v>
      </c>
      <c r="U305" s="1">
        <v>682213.53</v>
      </c>
      <c r="V305" s="1">
        <v>1549585.2899999998</v>
      </c>
      <c r="W305" s="1">
        <v>3755760.0999999996</v>
      </c>
      <c r="X305" s="1">
        <v>4573240.49</v>
      </c>
      <c r="Y305" s="1">
        <v>872645.45000000054</v>
      </c>
      <c r="Z305" s="1">
        <v>2322915</v>
      </c>
      <c r="AA305" s="1">
        <v>2203188.8999999994</v>
      </c>
      <c r="AB305" s="1">
        <v>821614.21999999788</v>
      </c>
      <c r="AC305" s="1">
        <v>1101454.4299999997</v>
      </c>
      <c r="AD305" s="1">
        <v>124414.70000000001</v>
      </c>
      <c r="AE305" s="1">
        <v>571830.81999999983</v>
      </c>
      <c r="AF305" s="1">
        <v>567836.13999999978</v>
      </c>
      <c r="AG305" s="1">
        <v>1212677.7499999998</v>
      </c>
      <c r="AH305" s="1">
        <v>2337228.9400000018</v>
      </c>
      <c r="AI305" s="1">
        <v>4119539.4799999986</v>
      </c>
      <c r="AJ305" s="1">
        <v>4227050.41</v>
      </c>
      <c r="AK305" s="1">
        <v>4407576.2500000009</v>
      </c>
      <c r="AL305" s="1">
        <v>4761107.9799999967</v>
      </c>
      <c r="AM305" s="1">
        <v>5681382.2800000003</v>
      </c>
      <c r="AN305" s="1">
        <v>1364160.7999999989</v>
      </c>
      <c r="AO305" s="1">
        <v>3889446.7799999993</v>
      </c>
      <c r="AP305" s="1">
        <v>2197505.1500000013</v>
      </c>
      <c r="AQ305" s="1">
        <v>3334579.67</v>
      </c>
      <c r="AR305" s="1">
        <v>3466223.3000000007</v>
      </c>
      <c r="AS305" s="1">
        <v>2295742.7400000002</v>
      </c>
      <c r="AT305" s="1">
        <v>1993383.3200000003</v>
      </c>
      <c r="AU305" s="1">
        <v>6018957.959999999</v>
      </c>
      <c r="AV305" s="1">
        <v>3789329.71</v>
      </c>
      <c r="AW305" s="1">
        <v>6284869.4399999985</v>
      </c>
      <c r="AX305" s="1">
        <v>5148245.42</v>
      </c>
      <c r="AY305" s="1">
        <v>5127142.3899999987</v>
      </c>
      <c r="AZ305" s="1">
        <v>1954998.850000001</v>
      </c>
      <c r="BA305" s="1">
        <v>3384269.7500000009</v>
      </c>
      <c r="BB305" s="1">
        <v>3033505.1369999996</v>
      </c>
      <c r="BC305" s="1">
        <v>3415583.24</v>
      </c>
      <c r="BD305" s="1">
        <v>2399574.3699999996</v>
      </c>
      <c r="BE305" s="1">
        <v>2616578.4390000002</v>
      </c>
      <c r="BF305" s="1">
        <v>2899581.94</v>
      </c>
      <c r="BG305" s="1">
        <v>6444273.6899999995</v>
      </c>
      <c r="BH305" s="1">
        <v>6720471.5399999982</v>
      </c>
      <c r="BI305" s="1">
        <v>5017553.5900000045</v>
      </c>
      <c r="BJ305" s="1">
        <v>8690853.200000003</v>
      </c>
      <c r="BK305" s="1">
        <v>3658912.6899999981</v>
      </c>
      <c r="BL305" s="1">
        <v>2788228.4300000006</v>
      </c>
      <c r="BM305" s="1">
        <v>4209825.9099999992</v>
      </c>
      <c r="BN305" s="1">
        <v>3494508.2299999981</v>
      </c>
      <c r="BO305" s="1">
        <v>3464246.85</v>
      </c>
      <c r="BP305" s="1">
        <v>2610087.4300000002</v>
      </c>
      <c r="BQ305" s="1">
        <v>2511984.9069999997</v>
      </c>
      <c r="BR305" s="1">
        <v>2337102.6100000003</v>
      </c>
      <c r="BS305" s="1">
        <v>4799912.7599999979</v>
      </c>
      <c r="BT305" s="1">
        <v>6129640.1699999999</v>
      </c>
      <c r="BU305" s="1">
        <v>4746248.9100000011</v>
      </c>
      <c r="BV305" s="1">
        <v>6813639.4700000025</v>
      </c>
      <c r="BW305" s="1">
        <v>6025132.4500000002</v>
      </c>
      <c r="BX305" s="1">
        <v>3743786.4099999978</v>
      </c>
      <c r="BY305" s="1">
        <v>4711512.0999999978</v>
      </c>
      <c r="BZ305" s="1">
        <v>3551227.2500000005</v>
      </c>
      <c r="CA305" s="1">
        <v>3441033.2699999996</v>
      </c>
      <c r="CB305" s="1">
        <v>3969961.5410000021</v>
      </c>
      <c r="CC305" s="1">
        <v>2761663.4300000006</v>
      </c>
      <c r="CD305" s="1">
        <v>4404834.12</v>
      </c>
      <c r="CE305" s="1">
        <v>7113550.4100000011</v>
      </c>
      <c r="CF305" s="1">
        <v>4560213.169999999</v>
      </c>
      <c r="CG305" s="1">
        <v>8000804.8800000027</v>
      </c>
      <c r="CH305" s="1">
        <v>3524786.4200000013</v>
      </c>
      <c r="CI305" s="1">
        <v>5779801</v>
      </c>
      <c r="CJ305" s="1">
        <v>4529706.8800000008</v>
      </c>
      <c r="CK305" s="1">
        <v>3051155.0399999963</v>
      </c>
      <c r="CL305" s="1">
        <v>3660279.8099999987</v>
      </c>
      <c r="CM305" s="1">
        <v>5371273.3680669991</v>
      </c>
      <c r="CN305" s="1">
        <v>4004447.5400189995</v>
      </c>
      <c r="CO305" s="1">
        <v>2602357.1629840005</v>
      </c>
      <c r="CP305" s="1">
        <v>5189344.8700529989</v>
      </c>
      <c r="CQ305" s="1">
        <v>6265792.5706769992</v>
      </c>
      <c r="CR305" s="1">
        <v>3714615.6101790038</v>
      </c>
      <c r="CS305" s="1">
        <v>9059189.7000000011</v>
      </c>
      <c r="CT305" s="1">
        <v>6045673.1799999978</v>
      </c>
      <c r="CU305" s="1">
        <v>7096769.4099999983</v>
      </c>
      <c r="CV305" s="1">
        <v>3729872.0100000012</v>
      </c>
      <c r="CW305" s="1">
        <v>3843762.8400000003</v>
      </c>
      <c r="CX305" s="1">
        <v>3842817.6700640013</v>
      </c>
      <c r="CY305" s="1">
        <v>5356833.0600280017</v>
      </c>
      <c r="CZ305" s="1">
        <v>2851835.2860000012</v>
      </c>
      <c r="DA305" s="1">
        <v>3022961.8400000003</v>
      </c>
      <c r="DB305" s="1">
        <v>3386052.6999999997</v>
      </c>
      <c r="DC305" s="1">
        <v>0</v>
      </c>
      <c r="DD305" s="1">
        <v>0</v>
      </c>
      <c r="DE305" s="1">
        <v>0</v>
      </c>
      <c r="DF305" s="1">
        <v>0</v>
      </c>
      <c r="DH305" s="6">
        <f t="shared" si="115"/>
        <v>345091502.3020708</v>
      </c>
    </row>
    <row r="306" spans="1:113" x14ac:dyDescent="0.2">
      <c r="A306" s="5" t="s">
        <v>39</v>
      </c>
      <c r="B306" s="5" t="s">
        <v>7</v>
      </c>
      <c r="C306" s="1"/>
      <c r="D306" s="1"/>
      <c r="E306" s="1"/>
      <c r="F306" s="1"/>
      <c r="G306" s="1"/>
      <c r="H306" s="1"/>
      <c r="I306" s="1"/>
      <c r="J306" s="1"/>
      <c r="K306" s="1">
        <v>212923.53</v>
      </c>
      <c r="L306" s="1">
        <v>101024.62000000001</v>
      </c>
      <c r="M306" s="1">
        <v>64158.27</v>
      </c>
      <c r="N306" s="1">
        <v>276694.41000000003</v>
      </c>
      <c r="O306" s="1">
        <v>80216.76999999999</v>
      </c>
      <c r="P306" s="1">
        <v>37127.669999999991</v>
      </c>
      <c r="Q306" s="1">
        <v>234139.86999999997</v>
      </c>
      <c r="R306" s="1">
        <v>55488.05</v>
      </c>
      <c r="S306" s="1">
        <v>61515.330000000009</v>
      </c>
      <c r="T306" s="1">
        <v>70114.009999999995</v>
      </c>
      <c r="U306" s="1">
        <v>68221.350000000006</v>
      </c>
      <c r="V306" s="1">
        <v>154958.53000000003</v>
      </c>
      <c r="W306" s="1">
        <v>375576.01</v>
      </c>
      <c r="X306" s="1">
        <v>457324.04</v>
      </c>
      <c r="Y306" s="1">
        <v>87264.570000000022</v>
      </c>
      <c r="Z306" s="1">
        <v>232291.49999999997</v>
      </c>
      <c r="AA306" s="1">
        <v>220318.9</v>
      </c>
      <c r="AB306" s="1">
        <v>82161.429999999978</v>
      </c>
      <c r="AC306" s="1">
        <v>110145.47</v>
      </c>
      <c r="AD306" s="1">
        <v>12441.469999999998</v>
      </c>
      <c r="AE306" s="1">
        <v>57183.11</v>
      </c>
      <c r="AF306" s="1">
        <v>56783.6</v>
      </c>
      <c r="AG306" s="1">
        <v>121267.76</v>
      </c>
      <c r="AH306" s="1">
        <v>233722.89</v>
      </c>
      <c r="AI306" s="1">
        <v>411953.95999999996</v>
      </c>
      <c r="AJ306" s="1">
        <v>422705.05</v>
      </c>
      <c r="AK306" s="1">
        <v>440757.63999999996</v>
      </c>
      <c r="AL306" s="1">
        <v>476110.81</v>
      </c>
      <c r="AM306" s="1">
        <v>568138.23999999999</v>
      </c>
      <c r="AN306" s="1">
        <v>136416.07999999999</v>
      </c>
      <c r="AO306" s="1">
        <v>388944.69</v>
      </c>
      <c r="AP306" s="1">
        <v>219750.53000000003</v>
      </c>
      <c r="AQ306" s="1">
        <v>333457.96999999997</v>
      </c>
      <c r="AR306" s="1">
        <v>346622.35</v>
      </c>
      <c r="AS306" s="1">
        <v>229574.29</v>
      </c>
      <c r="AT306" s="1">
        <v>199338.35</v>
      </c>
      <c r="AU306" s="1">
        <v>601895.81000000006</v>
      </c>
      <c r="AV306" s="1">
        <v>378932.98</v>
      </c>
      <c r="AW306" s="1">
        <v>628486.94999999995</v>
      </c>
      <c r="AX306" s="1">
        <v>514824.54999999993</v>
      </c>
      <c r="AY306" s="1">
        <v>512714.27999999997</v>
      </c>
      <c r="AZ306" s="1">
        <v>195499.88</v>
      </c>
      <c r="BA306" s="1">
        <v>338426.99</v>
      </c>
      <c r="BB306" s="1">
        <v>303350.53000000003</v>
      </c>
      <c r="BC306" s="1">
        <v>341558.31999999995</v>
      </c>
      <c r="BD306" s="1">
        <v>239957.44999999998</v>
      </c>
      <c r="BE306" s="1">
        <v>261657.87</v>
      </c>
      <c r="BF306" s="1">
        <v>289958.2</v>
      </c>
      <c r="BG306" s="1">
        <v>644427.36</v>
      </c>
      <c r="BH306" s="1">
        <v>672047.15</v>
      </c>
      <c r="BI306" s="1">
        <v>501755.34</v>
      </c>
      <c r="BJ306" s="1">
        <v>869085.33000000007</v>
      </c>
      <c r="BK306" s="1">
        <v>365891.27</v>
      </c>
      <c r="BL306" s="1">
        <v>278822.84999999998</v>
      </c>
      <c r="BM306" s="1">
        <v>420982.6</v>
      </c>
      <c r="BN306" s="1">
        <v>349450.83</v>
      </c>
      <c r="BO306" s="1">
        <v>346424.70999999996</v>
      </c>
      <c r="BP306" s="1">
        <v>261008.74</v>
      </c>
      <c r="BQ306" s="1">
        <v>251198.52000000002</v>
      </c>
      <c r="BR306" s="1">
        <v>233710.29</v>
      </c>
      <c r="BS306" s="1">
        <v>479991.29999999993</v>
      </c>
      <c r="BT306" s="1">
        <v>612964.02</v>
      </c>
      <c r="BU306" s="1">
        <v>474624.91</v>
      </c>
      <c r="BV306" s="1">
        <v>681363.97</v>
      </c>
      <c r="BW306" s="1">
        <v>602513.25</v>
      </c>
      <c r="BX306" s="1">
        <v>374378.65</v>
      </c>
      <c r="BY306" s="1">
        <v>471151.22</v>
      </c>
      <c r="BZ306" s="1">
        <v>355122.73</v>
      </c>
      <c r="CA306" s="1">
        <v>344103.33999999997</v>
      </c>
      <c r="CB306" s="1">
        <v>396996.16000000003</v>
      </c>
      <c r="CC306" s="1">
        <v>276166.36</v>
      </c>
      <c r="CD306" s="1">
        <v>440483.42000000004</v>
      </c>
      <c r="CE306" s="1">
        <v>711355.04</v>
      </c>
      <c r="CF306" s="1">
        <v>456021.33000000007</v>
      </c>
      <c r="CG306" s="1">
        <v>800080.52</v>
      </c>
      <c r="CH306" s="1">
        <v>352478.67</v>
      </c>
      <c r="CI306" s="1">
        <v>577980.08000000007</v>
      </c>
      <c r="CJ306" s="1">
        <v>452970.67999999993</v>
      </c>
      <c r="CK306" s="1">
        <v>305115.49</v>
      </c>
      <c r="CL306" s="1">
        <v>366028.01</v>
      </c>
      <c r="CM306" s="1">
        <v>537127.34</v>
      </c>
      <c r="CN306" s="1">
        <v>400444.78</v>
      </c>
      <c r="CO306" s="1">
        <v>260235.72999999998</v>
      </c>
      <c r="CP306" s="1">
        <v>518934.51</v>
      </c>
      <c r="CQ306" s="1">
        <v>626579.26</v>
      </c>
      <c r="CR306" s="1">
        <v>371461.59</v>
      </c>
      <c r="CS306" s="1">
        <v>905918.99</v>
      </c>
      <c r="CT306" s="1">
        <v>604567.32999999996</v>
      </c>
      <c r="CU306" s="1">
        <v>709676.95</v>
      </c>
      <c r="CV306" s="1">
        <v>372987.19999999995</v>
      </c>
      <c r="CW306" s="1">
        <v>384376.31000000006</v>
      </c>
      <c r="CX306" s="1">
        <v>384281.77999999997</v>
      </c>
      <c r="CY306" s="1">
        <v>535683.30999999994</v>
      </c>
      <c r="CZ306" s="1">
        <v>285183.52</v>
      </c>
      <c r="DA306" s="1">
        <v>302296.2</v>
      </c>
      <c r="DB306" s="1">
        <v>338605.31000000006</v>
      </c>
      <c r="DC306" s="1">
        <v>0</v>
      </c>
      <c r="DD306" s="1">
        <v>0</v>
      </c>
      <c r="DE306" s="1">
        <v>0</v>
      </c>
      <c r="DF306" s="1">
        <v>0</v>
      </c>
      <c r="DH306" s="6">
        <f t="shared" si="115"/>
        <v>34509151.18</v>
      </c>
    </row>
    <row r="307" spans="1:113" x14ac:dyDescent="0.2">
      <c r="A307" s="5" t="str">
        <f>A306</f>
        <v>WV</v>
      </c>
      <c r="B307" s="5" t="s">
        <v>41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H307" s="6">
        <f t="shared" si="115"/>
        <v>0</v>
      </c>
    </row>
    <row r="308" spans="1:113" x14ac:dyDescent="0.2">
      <c r="A308" s="5" t="s">
        <v>40</v>
      </c>
      <c r="B308" s="5" t="s">
        <v>4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>
        <v>6242469.3200000003</v>
      </c>
      <c r="AV308" s="1">
        <v>10847657.199999999</v>
      </c>
      <c r="AW308" s="1">
        <v>10973008.49</v>
      </c>
      <c r="AX308" s="1">
        <v>12285011.5</v>
      </c>
      <c r="AY308" s="1">
        <v>13977632.49</v>
      </c>
      <c r="AZ308" s="1">
        <v>10301603.380000001</v>
      </c>
      <c r="BA308" s="1">
        <v>12704938.109999999</v>
      </c>
      <c r="BB308" s="1">
        <v>9995919.8800000008</v>
      </c>
      <c r="BC308" s="1">
        <v>9340833.4600000009</v>
      </c>
      <c r="BD308" s="1">
        <v>7322852.3399999999</v>
      </c>
      <c r="BE308" s="1">
        <v>7246352.46</v>
      </c>
      <c r="BF308" s="1">
        <v>10990903.539999999</v>
      </c>
      <c r="BG308" s="1">
        <v>13575173.24</v>
      </c>
      <c r="BH308" s="1">
        <v>17275316.710000001</v>
      </c>
      <c r="BI308" s="1">
        <v>16702866.74</v>
      </c>
      <c r="BJ308" s="1">
        <v>15087738.75</v>
      </c>
      <c r="BK308" s="1">
        <v>14339351.380000001</v>
      </c>
      <c r="BL308" s="1">
        <v>11591163.17</v>
      </c>
      <c r="BM308" s="1">
        <v>14777638.85</v>
      </c>
      <c r="BN308" s="1">
        <v>12623675.08</v>
      </c>
      <c r="BO308" s="1">
        <v>12778371.07</v>
      </c>
      <c r="BP308" s="1">
        <v>9483450.25</v>
      </c>
      <c r="BQ308" s="1">
        <v>8145480.25</v>
      </c>
      <c r="BR308" s="1">
        <v>10464584.460000001</v>
      </c>
      <c r="BS308" s="1">
        <v>19259607.23</v>
      </c>
      <c r="BT308" s="1">
        <v>21234828.260000002</v>
      </c>
      <c r="BU308" s="1">
        <v>18525419.66</v>
      </c>
      <c r="BV308" s="1">
        <v>19023733.719999999</v>
      </c>
      <c r="BW308" s="1">
        <v>20272552.039999999</v>
      </c>
      <c r="BX308" s="1">
        <v>15511285.75</v>
      </c>
      <c r="BY308" s="1">
        <v>17690740.91</v>
      </c>
      <c r="BZ308" s="1">
        <v>15428621.15</v>
      </c>
      <c r="CA308" s="1">
        <v>12506783.5</v>
      </c>
      <c r="CB308" s="1">
        <v>10886389.279999999</v>
      </c>
      <c r="CC308" s="1">
        <v>9721357.0099999998</v>
      </c>
      <c r="CD308" s="1">
        <v>12202468.08</v>
      </c>
      <c r="CE308" s="1">
        <v>22875228.350000001</v>
      </c>
      <c r="CF308" s="1">
        <v>24450135.77</v>
      </c>
      <c r="CG308" s="1">
        <v>22824032.359999999</v>
      </c>
      <c r="CH308" s="1">
        <v>25236214.440000001</v>
      </c>
      <c r="CI308" s="1">
        <v>25274561.289999999</v>
      </c>
      <c r="CJ308" s="1">
        <v>16831677.789999999</v>
      </c>
      <c r="CK308" s="1">
        <v>20936441.379999999</v>
      </c>
      <c r="CL308" s="1">
        <v>15842968.98</v>
      </c>
      <c r="CM308" s="1">
        <v>14993382.300000001</v>
      </c>
      <c r="CN308" s="1">
        <v>14312005.390000001</v>
      </c>
      <c r="CO308" s="1">
        <v>11643231.74</v>
      </c>
      <c r="CP308" s="1">
        <v>15517909.189999999</v>
      </c>
      <c r="CQ308" s="1">
        <v>27303547.640000001</v>
      </c>
      <c r="CR308" s="1">
        <v>24410614.469999999</v>
      </c>
      <c r="CS308" s="1">
        <v>25000100.829999998</v>
      </c>
      <c r="CT308" s="1">
        <v>22414137.5</v>
      </c>
      <c r="CU308" s="1">
        <v>23345036.52</v>
      </c>
      <c r="CV308" s="1">
        <v>18534353.699999999</v>
      </c>
      <c r="CW308" s="1">
        <v>28474116.25</v>
      </c>
      <c r="CX308" s="1">
        <v>17132359.41</v>
      </c>
      <c r="CY308" s="1">
        <v>16886244.07</v>
      </c>
      <c r="CZ308" s="1">
        <v>16910874.690000001</v>
      </c>
      <c r="DA308" s="1">
        <v>16944821.960000001</v>
      </c>
      <c r="DB308" s="1">
        <v>15709165.49</v>
      </c>
      <c r="DC308" s="1">
        <v>23417556.280000001</v>
      </c>
      <c r="DD308" s="1">
        <v>0</v>
      </c>
      <c r="DE308" s="1">
        <v>0</v>
      </c>
      <c r="DF308" s="1">
        <v>0</v>
      </c>
      <c r="DH308" s="6">
        <f t="shared" si="115"/>
        <v>978558496.50000012</v>
      </c>
    </row>
    <row r="309" spans="1:113" x14ac:dyDescent="0.2">
      <c r="A309" s="5" t="s">
        <v>40</v>
      </c>
      <c r="B309" s="5" t="s">
        <v>42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>
        <v>6242469.3200000003</v>
      </c>
      <c r="AV309" s="1">
        <v>10847657.199999999</v>
      </c>
      <c r="AW309" s="1">
        <v>10973008.49</v>
      </c>
      <c r="AX309" s="1">
        <v>12285011.5</v>
      </c>
      <c r="AY309" s="1">
        <v>13977632.49</v>
      </c>
      <c r="AZ309" s="1">
        <v>10301603.380000001</v>
      </c>
      <c r="BA309" s="1">
        <v>12704938.109999999</v>
      </c>
      <c r="BB309" s="1">
        <v>9995919.8800000008</v>
      </c>
      <c r="BC309" s="1">
        <v>9340833.4600000009</v>
      </c>
      <c r="BD309" s="1">
        <v>7322852.3399999999</v>
      </c>
      <c r="BE309" s="1">
        <v>7246352.46</v>
      </c>
      <c r="BF309" s="1">
        <v>10990903.539999999</v>
      </c>
      <c r="BG309" s="1">
        <v>13575173.24</v>
      </c>
      <c r="BH309" s="1">
        <v>17275316.710000001</v>
      </c>
      <c r="BI309" s="1">
        <v>16702866.74</v>
      </c>
      <c r="BJ309" s="1">
        <v>15087738.75</v>
      </c>
      <c r="BK309" s="1">
        <v>14339351.380000001</v>
      </c>
      <c r="BL309" s="1">
        <v>11591163.17</v>
      </c>
      <c r="BM309" s="1">
        <v>14777638.85</v>
      </c>
      <c r="BN309" s="1">
        <v>12623675.08</v>
      </c>
      <c r="BO309" s="1">
        <v>12778371.07</v>
      </c>
      <c r="BP309" s="1">
        <v>9483450.25</v>
      </c>
      <c r="BQ309" s="1">
        <v>8145480.25</v>
      </c>
      <c r="BR309" s="1">
        <v>10464584.460000001</v>
      </c>
      <c r="BS309" s="1">
        <v>19259607.23</v>
      </c>
      <c r="BT309" s="1">
        <v>21234828.260000002</v>
      </c>
      <c r="BU309" s="1">
        <v>18525419.66</v>
      </c>
      <c r="BV309" s="1">
        <v>19023733.719999999</v>
      </c>
      <c r="BW309" s="1">
        <v>20272552.039999999</v>
      </c>
      <c r="BX309" s="1">
        <v>15511285.75</v>
      </c>
      <c r="BY309" s="1">
        <v>17690740.91</v>
      </c>
      <c r="BZ309" s="1">
        <v>15428621.15</v>
      </c>
      <c r="CA309" s="1">
        <v>12506783.5</v>
      </c>
      <c r="CB309" s="1">
        <v>10886389.279999999</v>
      </c>
      <c r="CC309" s="1">
        <v>9721357.0099999998</v>
      </c>
      <c r="CD309" s="1">
        <v>12202468.08</v>
      </c>
      <c r="CE309" s="1">
        <v>22875228.350000001</v>
      </c>
      <c r="CF309" s="1">
        <v>24450135.77</v>
      </c>
      <c r="CG309" s="1">
        <v>22824032.359999999</v>
      </c>
      <c r="CH309" s="1">
        <v>25236214.440000001</v>
      </c>
      <c r="CI309" s="1">
        <v>25274561.289999999</v>
      </c>
      <c r="CJ309" s="1">
        <v>16831677.789999999</v>
      </c>
      <c r="CK309" s="1">
        <v>20936441.379999999</v>
      </c>
      <c r="CL309" s="1">
        <v>15842968.98</v>
      </c>
      <c r="CM309" s="1">
        <v>14993382.300000001</v>
      </c>
      <c r="CN309" s="1">
        <v>14312005.390000001</v>
      </c>
      <c r="CO309" s="1">
        <v>11643231.74</v>
      </c>
      <c r="CP309" s="1">
        <v>15517909.189999999</v>
      </c>
      <c r="CQ309" s="1">
        <v>27303547.640000001</v>
      </c>
      <c r="CR309" s="1">
        <v>24410614.469999999</v>
      </c>
      <c r="CS309" s="1">
        <v>25000100.829999998</v>
      </c>
      <c r="CT309" s="1">
        <v>22414137.5</v>
      </c>
      <c r="CU309" s="1">
        <v>23345036.52</v>
      </c>
      <c r="CV309" s="1">
        <v>18534353.699999999</v>
      </c>
      <c r="CW309" s="1">
        <v>28474116.25</v>
      </c>
      <c r="CX309" s="1">
        <v>17132359.41</v>
      </c>
      <c r="CY309" s="1">
        <v>16886244.07</v>
      </c>
      <c r="CZ309" s="1">
        <v>16910874.690000001</v>
      </c>
      <c r="DA309" s="1">
        <v>16944821.960000001</v>
      </c>
      <c r="DB309" s="1">
        <v>15709165.49</v>
      </c>
      <c r="DC309" s="1">
        <v>23417556.280000001</v>
      </c>
      <c r="DD309" s="1">
        <v>0</v>
      </c>
      <c r="DE309" s="1">
        <v>0</v>
      </c>
      <c r="DF309" s="1">
        <v>0</v>
      </c>
      <c r="DH309" s="6">
        <f t="shared" si="115"/>
        <v>978558496.50000012</v>
      </c>
    </row>
    <row r="310" spans="1:113" x14ac:dyDescent="0.2">
      <c r="A310" s="5" t="s">
        <v>40</v>
      </c>
      <c r="B310" s="5" t="s">
        <v>43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>
        <f t="shared" ref="AU310:BO310" si="147">AU308-AU309</f>
        <v>0</v>
      </c>
      <c r="AV310" s="1">
        <f t="shared" si="147"/>
        <v>0</v>
      </c>
      <c r="AW310" s="1">
        <f t="shared" si="147"/>
        <v>0</v>
      </c>
      <c r="AX310" s="1">
        <f t="shared" si="147"/>
        <v>0</v>
      </c>
      <c r="AY310" s="1">
        <f t="shared" si="147"/>
        <v>0</v>
      </c>
      <c r="AZ310" s="1">
        <f t="shared" si="147"/>
        <v>0</v>
      </c>
      <c r="BA310" s="1">
        <f t="shared" si="147"/>
        <v>0</v>
      </c>
      <c r="BB310" s="1">
        <f t="shared" si="147"/>
        <v>0</v>
      </c>
      <c r="BC310" s="1">
        <f t="shared" si="147"/>
        <v>0</v>
      </c>
      <c r="BD310" s="1">
        <f t="shared" si="147"/>
        <v>0</v>
      </c>
      <c r="BE310" s="1">
        <f t="shared" si="147"/>
        <v>0</v>
      </c>
      <c r="BF310" s="1">
        <f t="shared" si="147"/>
        <v>0</v>
      </c>
      <c r="BG310" s="1">
        <f t="shared" si="147"/>
        <v>0</v>
      </c>
      <c r="BH310" s="1">
        <f t="shared" si="147"/>
        <v>0</v>
      </c>
      <c r="BI310" s="1">
        <f t="shared" si="147"/>
        <v>0</v>
      </c>
      <c r="BJ310" s="1">
        <f t="shared" si="147"/>
        <v>0</v>
      </c>
      <c r="BK310" s="1">
        <f t="shared" si="147"/>
        <v>0</v>
      </c>
      <c r="BL310" s="1">
        <f t="shared" si="147"/>
        <v>0</v>
      </c>
      <c r="BM310" s="1">
        <f t="shared" si="147"/>
        <v>0</v>
      </c>
      <c r="BN310" s="1">
        <f t="shared" si="147"/>
        <v>0</v>
      </c>
      <c r="BO310" s="1">
        <f t="shared" si="147"/>
        <v>0</v>
      </c>
      <c r="BP310" s="1">
        <f>BP308-BP309</f>
        <v>0</v>
      </c>
      <c r="BQ310" s="1">
        <f t="shared" ref="BQ310:CC310" si="148">BQ308-BQ309</f>
        <v>0</v>
      </c>
      <c r="BR310" s="1">
        <f t="shared" si="148"/>
        <v>0</v>
      </c>
      <c r="BS310" s="1">
        <f t="shared" si="148"/>
        <v>0</v>
      </c>
      <c r="BT310" s="1">
        <f t="shared" si="148"/>
        <v>0</v>
      </c>
      <c r="BU310" s="1">
        <f t="shared" si="148"/>
        <v>0</v>
      </c>
      <c r="BV310" s="1">
        <f t="shared" si="148"/>
        <v>0</v>
      </c>
      <c r="BW310" s="1">
        <f t="shared" si="148"/>
        <v>0</v>
      </c>
      <c r="BX310" s="1">
        <f t="shared" si="148"/>
        <v>0</v>
      </c>
      <c r="BY310" s="1">
        <f t="shared" si="148"/>
        <v>0</v>
      </c>
      <c r="BZ310" s="1">
        <f t="shared" si="148"/>
        <v>0</v>
      </c>
      <c r="CA310" s="1">
        <f t="shared" si="148"/>
        <v>0</v>
      </c>
      <c r="CB310" s="1">
        <f t="shared" si="148"/>
        <v>0</v>
      </c>
      <c r="CC310" s="1">
        <f t="shared" si="148"/>
        <v>0</v>
      </c>
      <c r="CD310" s="1">
        <f>CD308-CD309</f>
        <v>0</v>
      </c>
      <c r="CE310" s="1">
        <f>CE308-CE309</f>
        <v>0</v>
      </c>
      <c r="CF310" s="1">
        <f>CF308-CF309</f>
        <v>0</v>
      </c>
      <c r="CG310" s="1">
        <f>CG308-CG309</f>
        <v>0</v>
      </c>
      <c r="CH310" s="1">
        <f>CH308-CH309</f>
        <v>0</v>
      </c>
      <c r="CI310" s="1">
        <f t="shared" ref="CI310:DF310" si="149">CI308-CI309</f>
        <v>0</v>
      </c>
      <c r="CJ310" s="1">
        <f t="shared" si="149"/>
        <v>0</v>
      </c>
      <c r="CK310" s="1">
        <f t="shared" si="149"/>
        <v>0</v>
      </c>
      <c r="CL310" s="1">
        <f t="shared" si="149"/>
        <v>0</v>
      </c>
      <c r="CM310" s="1">
        <f t="shared" si="149"/>
        <v>0</v>
      </c>
      <c r="CN310" s="1">
        <f t="shared" si="149"/>
        <v>0</v>
      </c>
      <c r="CO310" s="1">
        <f t="shared" si="149"/>
        <v>0</v>
      </c>
      <c r="CP310" s="1">
        <f t="shared" si="149"/>
        <v>0</v>
      </c>
      <c r="CQ310" s="1">
        <f t="shared" si="149"/>
        <v>0</v>
      </c>
      <c r="CR310" s="1">
        <f t="shared" si="149"/>
        <v>0</v>
      </c>
      <c r="CS310" s="1">
        <f t="shared" si="149"/>
        <v>0</v>
      </c>
      <c r="CT310" s="1">
        <f t="shared" si="149"/>
        <v>0</v>
      </c>
      <c r="CU310" s="1">
        <f t="shared" si="149"/>
        <v>0</v>
      </c>
      <c r="CV310" s="1">
        <f t="shared" si="149"/>
        <v>0</v>
      </c>
      <c r="CW310" s="1">
        <f t="shared" si="149"/>
        <v>0</v>
      </c>
      <c r="CX310" s="1">
        <f t="shared" si="149"/>
        <v>0</v>
      </c>
      <c r="CY310" s="1">
        <f t="shared" si="149"/>
        <v>0</v>
      </c>
      <c r="CZ310" s="1">
        <f t="shared" si="149"/>
        <v>0</v>
      </c>
      <c r="DA310" s="1">
        <f t="shared" si="149"/>
        <v>0</v>
      </c>
      <c r="DB310" s="1">
        <f t="shared" si="149"/>
        <v>0</v>
      </c>
      <c r="DC310" s="1">
        <f t="shared" si="149"/>
        <v>0</v>
      </c>
      <c r="DD310" s="1">
        <f t="shared" si="149"/>
        <v>0</v>
      </c>
      <c r="DE310" s="1">
        <f t="shared" si="149"/>
        <v>0</v>
      </c>
      <c r="DF310" s="1">
        <f t="shared" si="149"/>
        <v>0</v>
      </c>
      <c r="DH310" s="6">
        <f t="shared" si="115"/>
        <v>0</v>
      </c>
    </row>
    <row r="311" spans="1:113" x14ac:dyDescent="0.2">
      <c r="A311" s="5" t="s">
        <v>40</v>
      </c>
      <c r="B311" s="5" t="s">
        <v>5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>
        <v>954416.46</v>
      </c>
      <c r="AV311" s="1">
        <v>881200.05</v>
      </c>
      <c r="AW311" s="1">
        <v>1363696.28</v>
      </c>
      <c r="AX311" s="1">
        <v>813504.21</v>
      </c>
      <c r="AY311" s="1">
        <v>1098459.68</v>
      </c>
      <c r="AZ311" s="1">
        <v>722630.77</v>
      </c>
      <c r="BA311" s="1">
        <v>1101235.6499999999</v>
      </c>
      <c r="BB311" s="1">
        <v>1007796.24</v>
      </c>
      <c r="BC311" s="1">
        <v>1011713.98</v>
      </c>
      <c r="BD311" s="1">
        <v>673268.5</v>
      </c>
      <c r="BE311" s="1">
        <v>680740.26</v>
      </c>
      <c r="BF311" s="1">
        <v>1237814.8600000001</v>
      </c>
      <c r="BG311" s="1">
        <v>1932518.97</v>
      </c>
      <c r="BH311" s="1">
        <v>2039620.37</v>
      </c>
      <c r="BI311" s="1">
        <v>1478158.33</v>
      </c>
      <c r="BJ311" s="1">
        <v>1803272.49</v>
      </c>
      <c r="BK311" s="1">
        <v>1587273.19</v>
      </c>
      <c r="BL311" s="1">
        <v>1106141.1499999999</v>
      </c>
      <c r="BM311" s="1">
        <v>1837412.1</v>
      </c>
      <c r="BN311" s="1">
        <v>1264211.8500000001</v>
      </c>
      <c r="BO311" s="1">
        <v>1306929.01</v>
      </c>
      <c r="BP311" s="1">
        <v>775389.2</v>
      </c>
      <c r="BQ311" s="1">
        <v>998740.08</v>
      </c>
      <c r="BR311" s="1">
        <v>1207821.1299999999</v>
      </c>
      <c r="BS311" s="1">
        <v>1525986.13</v>
      </c>
      <c r="BT311" s="1">
        <v>2271665.0099999998</v>
      </c>
      <c r="BU311" s="1">
        <v>1562756.41</v>
      </c>
      <c r="BV311" s="1">
        <v>1849623.9</v>
      </c>
      <c r="BW311" s="1">
        <v>2662549.56</v>
      </c>
      <c r="BX311" s="1">
        <v>1946593.94</v>
      </c>
      <c r="BY311" s="1">
        <v>1718721.11</v>
      </c>
      <c r="BZ311" s="1">
        <v>1499242.19</v>
      </c>
      <c r="CA311" s="1">
        <v>1664699.33</v>
      </c>
      <c r="CB311" s="1">
        <v>1080627.6000000001</v>
      </c>
      <c r="CC311" s="1">
        <v>1503414.2</v>
      </c>
      <c r="CD311" s="1">
        <v>1593257.47</v>
      </c>
      <c r="CE311" s="1">
        <v>2953221.97</v>
      </c>
      <c r="CF311" s="1">
        <v>1927421.7</v>
      </c>
      <c r="CG311" s="1">
        <v>3422167.42</v>
      </c>
      <c r="CH311" s="1">
        <v>838735.69</v>
      </c>
      <c r="CI311" s="1">
        <v>2896369.12</v>
      </c>
      <c r="CJ311" s="1">
        <v>2106645.16</v>
      </c>
      <c r="CK311" s="1">
        <v>1140417.32</v>
      </c>
      <c r="CL311" s="1">
        <v>1795453.48</v>
      </c>
      <c r="CM311" s="1">
        <v>2070033</v>
      </c>
      <c r="CN311" s="1">
        <v>2022372.81</v>
      </c>
      <c r="CO311" s="1">
        <v>1286796.1000000001</v>
      </c>
      <c r="CP311" s="1">
        <v>2549129.77</v>
      </c>
      <c r="CQ311" s="1">
        <v>2324125.36</v>
      </c>
      <c r="CR311" s="1">
        <v>2822193.84</v>
      </c>
      <c r="CS311" s="1">
        <v>2909520.25</v>
      </c>
      <c r="CT311" s="1">
        <v>3325440.7</v>
      </c>
      <c r="CU311" s="1">
        <v>2844266.7</v>
      </c>
      <c r="CV311" s="1">
        <v>1668685.05</v>
      </c>
      <c r="CW311" s="1">
        <v>1944149.68</v>
      </c>
      <c r="CX311" s="1">
        <v>1852078.23</v>
      </c>
      <c r="CY311" s="1">
        <v>1977424.41</v>
      </c>
      <c r="CZ311" s="1">
        <v>1409388.03</v>
      </c>
      <c r="DA311" s="1">
        <v>2429096.4300000002</v>
      </c>
      <c r="DB311" s="1">
        <v>1798602.95</v>
      </c>
      <c r="DC311" s="1">
        <v>2454909.4300000002</v>
      </c>
      <c r="DD311" s="1">
        <v>0</v>
      </c>
      <c r="DE311" s="1">
        <v>0</v>
      </c>
      <c r="DF311" s="1">
        <v>0</v>
      </c>
      <c r="DH311" s="6">
        <f t="shared" si="115"/>
        <v>104531746.26000001</v>
      </c>
    </row>
    <row r="312" spans="1:113" x14ac:dyDescent="0.2">
      <c r="A312" s="5" t="s">
        <v>40</v>
      </c>
      <c r="B312" s="5" t="s">
        <v>44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>
        <v>954416.46</v>
      </c>
      <c r="AV312" s="1">
        <v>881200.05</v>
      </c>
      <c r="AW312" s="1">
        <v>1363696.28</v>
      </c>
      <c r="AX312" s="1">
        <v>813504.21</v>
      </c>
      <c r="AY312" s="1">
        <v>1098459.68</v>
      </c>
      <c r="AZ312" s="1">
        <v>722630.77</v>
      </c>
      <c r="BA312" s="1">
        <v>1101235.6499999999</v>
      </c>
      <c r="BB312" s="1">
        <v>1007796.24</v>
      </c>
      <c r="BC312" s="1">
        <v>1011713.98</v>
      </c>
      <c r="BD312" s="1">
        <v>673268.5</v>
      </c>
      <c r="BE312" s="1">
        <v>680740.26</v>
      </c>
      <c r="BF312" s="1">
        <v>1237814.8600000001</v>
      </c>
      <c r="BG312" s="1">
        <v>1932518.97</v>
      </c>
      <c r="BH312" s="1">
        <v>2039620.37</v>
      </c>
      <c r="BI312" s="1">
        <v>1478158.33</v>
      </c>
      <c r="BJ312" s="1">
        <v>1803272.49</v>
      </c>
      <c r="BK312" s="1">
        <v>1587273.19</v>
      </c>
      <c r="BL312" s="1">
        <v>1106141.1499999999</v>
      </c>
      <c r="BM312" s="1">
        <v>1837412.1</v>
      </c>
      <c r="BN312" s="1">
        <v>1264211.8500000001</v>
      </c>
      <c r="BO312" s="1">
        <v>1306929.01</v>
      </c>
      <c r="BP312" s="1">
        <v>775389.2</v>
      </c>
      <c r="BQ312" s="1">
        <v>998740.08</v>
      </c>
      <c r="BR312" s="1">
        <v>1207821.1299999999</v>
      </c>
      <c r="BS312" s="1">
        <v>1525986.13</v>
      </c>
      <c r="BT312" s="1">
        <v>2271665.0099999998</v>
      </c>
      <c r="BU312" s="1">
        <v>1562756.41</v>
      </c>
      <c r="BV312" s="1">
        <v>1849623.9</v>
      </c>
      <c r="BW312" s="1">
        <v>2662549.56</v>
      </c>
      <c r="BX312" s="1">
        <v>1946593.94</v>
      </c>
      <c r="BY312" s="1">
        <v>1718721.11</v>
      </c>
      <c r="BZ312" s="1">
        <v>1499242.19</v>
      </c>
      <c r="CA312" s="1">
        <v>1664699.33</v>
      </c>
      <c r="CB312" s="1">
        <v>1080627.6000000001</v>
      </c>
      <c r="CC312" s="1">
        <v>1503414.2</v>
      </c>
      <c r="CD312" s="1">
        <v>1593257.47</v>
      </c>
      <c r="CE312" s="1">
        <v>2953221.97</v>
      </c>
      <c r="CF312" s="1">
        <v>1927421.7</v>
      </c>
      <c r="CG312" s="1">
        <v>3422167.42</v>
      </c>
      <c r="CH312" s="1">
        <v>838735.69</v>
      </c>
      <c r="CI312" s="1">
        <v>2896369.12</v>
      </c>
      <c r="CJ312" s="1">
        <v>2106645.16</v>
      </c>
      <c r="CK312" s="1">
        <v>1140417.32</v>
      </c>
      <c r="CL312" s="1">
        <v>1795453.48</v>
      </c>
      <c r="CM312" s="1">
        <v>2070033</v>
      </c>
      <c r="CN312" s="1">
        <v>2022372.81</v>
      </c>
      <c r="CO312" s="1">
        <v>1286796.1000000001</v>
      </c>
      <c r="CP312" s="1">
        <v>2549129.77</v>
      </c>
      <c r="CQ312" s="1">
        <v>2324125.36</v>
      </c>
      <c r="CR312" s="1">
        <v>2822193.84</v>
      </c>
      <c r="CS312" s="1">
        <v>2909520.25</v>
      </c>
      <c r="CT312" s="1">
        <v>3325440.7</v>
      </c>
      <c r="CU312" s="1">
        <v>2844266.7</v>
      </c>
      <c r="CV312" s="1">
        <v>1668685.05</v>
      </c>
      <c r="CW312" s="1">
        <v>1944149.68</v>
      </c>
      <c r="CX312" s="1">
        <v>1852078.23</v>
      </c>
      <c r="CY312" s="1">
        <v>1977424.41</v>
      </c>
      <c r="CZ312" s="1">
        <v>1409388.03</v>
      </c>
      <c r="DA312" s="1">
        <v>2429096.4300000002</v>
      </c>
      <c r="DB312" s="1">
        <v>1798602.95</v>
      </c>
      <c r="DC312" s="1">
        <v>2454909.4300000002</v>
      </c>
      <c r="DD312" s="1">
        <v>0</v>
      </c>
      <c r="DE312" s="1">
        <v>0</v>
      </c>
      <c r="DF312" s="1">
        <v>0</v>
      </c>
      <c r="DH312" s="6">
        <f t="shared" si="115"/>
        <v>104531746.26000001</v>
      </c>
    </row>
    <row r="313" spans="1:113" x14ac:dyDescent="0.2">
      <c r="A313" s="5" t="s">
        <v>40</v>
      </c>
      <c r="B313" s="5" t="s">
        <v>45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>
        <f t="shared" ref="AU313:BO313" si="150">AU311-AU312</f>
        <v>0</v>
      </c>
      <c r="AV313" s="1">
        <f t="shared" si="150"/>
        <v>0</v>
      </c>
      <c r="AW313" s="1">
        <f t="shared" si="150"/>
        <v>0</v>
      </c>
      <c r="AX313" s="1">
        <f t="shared" si="150"/>
        <v>0</v>
      </c>
      <c r="AY313" s="1">
        <f t="shared" si="150"/>
        <v>0</v>
      </c>
      <c r="AZ313" s="1">
        <f t="shared" si="150"/>
        <v>0</v>
      </c>
      <c r="BA313" s="1">
        <f t="shared" si="150"/>
        <v>0</v>
      </c>
      <c r="BB313" s="1">
        <f t="shared" si="150"/>
        <v>0</v>
      </c>
      <c r="BC313" s="1">
        <f t="shared" si="150"/>
        <v>0</v>
      </c>
      <c r="BD313" s="1">
        <f t="shared" si="150"/>
        <v>0</v>
      </c>
      <c r="BE313" s="1">
        <f t="shared" si="150"/>
        <v>0</v>
      </c>
      <c r="BF313" s="1">
        <f t="shared" si="150"/>
        <v>0</v>
      </c>
      <c r="BG313" s="1">
        <f t="shared" si="150"/>
        <v>0</v>
      </c>
      <c r="BH313" s="1">
        <f t="shared" si="150"/>
        <v>0</v>
      </c>
      <c r="BI313" s="1">
        <f t="shared" si="150"/>
        <v>0</v>
      </c>
      <c r="BJ313" s="1">
        <f t="shared" si="150"/>
        <v>0</v>
      </c>
      <c r="BK313" s="1">
        <f t="shared" si="150"/>
        <v>0</v>
      </c>
      <c r="BL313" s="1">
        <f t="shared" si="150"/>
        <v>0</v>
      </c>
      <c r="BM313" s="1">
        <f t="shared" si="150"/>
        <v>0</v>
      </c>
      <c r="BN313" s="1">
        <f t="shared" si="150"/>
        <v>0</v>
      </c>
      <c r="BO313" s="1">
        <f t="shared" si="150"/>
        <v>0</v>
      </c>
      <c r="BP313" s="1">
        <f>BP311-BP312</f>
        <v>0</v>
      </c>
      <c r="BQ313" s="1">
        <f t="shared" ref="BQ313:CC313" si="151">BQ311-BQ312</f>
        <v>0</v>
      </c>
      <c r="BR313" s="1">
        <f t="shared" si="151"/>
        <v>0</v>
      </c>
      <c r="BS313" s="1">
        <f t="shared" si="151"/>
        <v>0</v>
      </c>
      <c r="BT313" s="1">
        <f t="shared" si="151"/>
        <v>0</v>
      </c>
      <c r="BU313" s="1">
        <f t="shared" si="151"/>
        <v>0</v>
      </c>
      <c r="BV313" s="1">
        <f t="shared" si="151"/>
        <v>0</v>
      </c>
      <c r="BW313" s="1">
        <f t="shared" si="151"/>
        <v>0</v>
      </c>
      <c r="BX313" s="1">
        <f t="shared" si="151"/>
        <v>0</v>
      </c>
      <c r="BY313" s="1">
        <f t="shared" si="151"/>
        <v>0</v>
      </c>
      <c r="BZ313" s="1">
        <f t="shared" si="151"/>
        <v>0</v>
      </c>
      <c r="CA313" s="1">
        <f t="shared" si="151"/>
        <v>0</v>
      </c>
      <c r="CB313" s="1">
        <f t="shared" si="151"/>
        <v>0</v>
      </c>
      <c r="CC313" s="1">
        <f t="shared" si="151"/>
        <v>0</v>
      </c>
      <c r="CD313" s="1">
        <f>CD311-CD312</f>
        <v>0</v>
      </c>
      <c r="CE313" s="1">
        <f>CE311-CE312</f>
        <v>0</v>
      </c>
      <c r="CF313" s="1">
        <f>CF311-CF312</f>
        <v>0</v>
      </c>
      <c r="CG313" s="1">
        <f>CG311-CG312</f>
        <v>0</v>
      </c>
      <c r="CH313" s="1">
        <f>CH311-CH312</f>
        <v>0</v>
      </c>
      <c r="CI313" s="1">
        <f t="shared" ref="CI313:DF313" si="152">CI311-CI312</f>
        <v>0</v>
      </c>
      <c r="CJ313" s="1">
        <f t="shared" si="152"/>
        <v>0</v>
      </c>
      <c r="CK313" s="1">
        <f t="shared" si="152"/>
        <v>0</v>
      </c>
      <c r="CL313" s="1">
        <f t="shared" si="152"/>
        <v>0</v>
      </c>
      <c r="CM313" s="1">
        <f t="shared" si="152"/>
        <v>0</v>
      </c>
      <c r="CN313" s="1">
        <f t="shared" si="152"/>
        <v>0</v>
      </c>
      <c r="CO313" s="1">
        <f t="shared" si="152"/>
        <v>0</v>
      </c>
      <c r="CP313" s="1">
        <f t="shared" si="152"/>
        <v>0</v>
      </c>
      <c r="CQ313" s="1">
        <f t="shared" si="152"/>
        <v>0</v>
      </c>
      <c r="CR313" s="1">
        <f t="shared" si="152"/>
        <v>0</v>
      </c>
      <c r="CS313" s="1">
        <f t="shared" si="152"/>
        <v>0</v>
      </c>
      <c r="CT313" s="1">
        <f t="shared" si="152"/>
        <v>0</v>
      </c>
      <c r="CU313" s="1">
        <f t="shared" si="152"/>
        <v>0</v>
      </c>
      <c r="CV313" s="1">
        <f t="shared" si="152"/>
        <v>0</v>
      </c>
      <c r="CW313" s="1">
        <f t="shared" si="152"/>
        <v>0</v>
      </c>
      <c r="CX313" s="1">
        <f t="shared" si="152"/>
        <v>0</v>
      </c>
      <c r="CY313" s="1">
        <f t="shared" si="152"/>
        <v>0</v>
      </c>
      <c r="CZ313" s="1">
        <f t="shared" si="152"/>
        <v>0</v>
      </c>
      <c r="DA313" s="1">
        <f t="shared" si="152"/>
        <v>0</v>
      </c>
      <c r="DB313" s="1">
        <f t="shared" si="152"/>
        <v>0</v>
      </c>
      <c r="DC313" s="1">
        <f t="shared" si="152"/>
        <v>0</v>
      </c>
      <c r="DD313" s="1">
        <f t="shared" si="152"/>
        <v>0</v>
      </c>
      <c r="DE313" s="1">
        <f t="shared" si="152"/>
        <v>0</v>
      </c>
      <c r="DF313" s="1">
        <f t="shared" si="152"/>
        <v>0</v>
      </c>
      <c r="DH313" s="6">
        <f t="shared" si="115"/>
        <v>0</v>
      </c>
    </row>
    <row r="314" spans="1:113" x14ac:dyDescent="0.2">
      <c r="A314" s="5" t="s">
        <v>40</v>
      </c>
      <c r="B314" s="5" t="s">
        <v>6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>
        <v>-123969.65</v>
      </c>
      <c r="AV314" s="1">
        <v>281602.67</v>
      </c>
      <c r="AW314" s="1">
        <v>864987.1</v>
      </c>
      <c r="AX314" s="1">
        <v>217916.75</v>
      </c>
      <c r="AY314" s="1">
        <v>465651.96</v>
      </c>
      <c r="AZ314" s="1">
        <v>188236.2</v>
      </c>
      <c r="BA314" s="1">
        <v>324149.93</v>
      </c>
      <c r="BB314" s="1">
        <v>544798.38</v>
      </c>
      <c r="BC314" s="1">
        <v>531632.17000000004</v>
      </c>
      <c r="BD314" s="1">
        <v>380360.68</v>
      </c>
      <c r="BE314" s="1">
        <v>383654.62</v>
      </c>
      <c r="BF314" s="1">
        <v>856717.6</v>
      </c>
      <c r="BG314" s="1">
        <v>1155495.52</v>
      </c>
      <c r="BH314" s="1">
        <v>1158928.3500000001</v>
      </c>
      <c r="BI314" s="1">
        <v>1000085.58</v>
      </c>
      <c r="BJ314" s="1">
        <v>1333143.8899999999</v>
      </c>
      <c r="BK314" s="1">
        <v>922899.34</v>
      </c>
      <c r="BL314" s="1">
        <v>542957.4</v>
      </c>
      <c r="BM314" s="1">
        <v>1306770.6499999999</v>
      </c>
      <c r="BN314" s="1">
        <v>828477.86</v>
      </c>
      <c r="BO314" s="1">
        <v>814479.83</v>
      </c>
      <c r="BP314" s="1">
        <v>351306.49</v>
      </c>
      <c r="BQ314" s="1">
        <v>683634.03</v>
      </c>
      <c r="BR314" s="1">
        <v>841027.77</v>
      </c>
      <c r="BS314" s="1">
        <v>517522.64</v>
      </c>
      <c r="BT314" s="1">
        <v>1410868.11</v>
      </c>
      <c r="BU314" s="1">
        <v>964707.64</v>
      </c>
      <c r="BV314" s="1">
        <v>1326829.79</v>
      </c>
      <c r="BW314" s="1">
        <v>1758240.64</v>
      </c>
      <c r="BX314" s="1">
        <v>1167224.83</v>
      </c>
      <c r="BY314" s="1">
        <v>1123063.3999999999</v>
      </c>
      <c r="BZ314" s="1">
        <v>906101.31</v>
      </c>
      <c r="CA314" s="1">
        <v>1156022.53</v>
      </c>
      <c r="CB314" s="1">
        <v>606625.81000000006</v>
      </c>
      <c r="CC314" s="1">
        <v>1040567.63</v>
      </c>
      <c r="CD314" s="1">
        <v>1092913.08</v>
      </c>
      <c r="CE314" s="1">
        <v>1419937.91</v>
      </c>
      <c r="CF314" s="1">
        <v>878122.77</v>
      </c>
      <c r="CG314" s="1">
        <v>2410710.88</v>
      </c>
      <c r="CH314" s="1">
        <v>56407.14</v>
      </c>
      <c r="CI314" s="1">
        <v>1708448</v>
      </c>
      <c r="CJ314" s="1">
        <v>1395517.59</v>
      </c>
      <c r="CK314" s="1">
        <v>459000.94</v>
      </c>
      <c r="CL314" s="1">
        <v>1175186.96</v>
      </c>
      <c r="CM314" s="1">
        <v>1511080.44</v>
      </c>
      <c r="CN314" s="1">
        <v>1539102.71</v>
      </c>
      <c r="CO314" s="1">
        <v>960320.33</v>
      </c>
      <c r="CP314" s="1">
        <v>1803074.13</v>
      </c>
      <c r="CQ314" s="1">
        <v>1046085.66</v>
      </c>
      <c r="CR314" s="1">
        <v>1953738.29</v>
      </c>
      <c r="CS314" s="1">
        <v>2214519.86</v>
      </c>
      <c r="CT314" s="1">
        <v>2708328.89</v>
      </c>
      <c r="CU314" s="1">
        <v>2112886.19</v>
      </c>
      <c r="CV314" s="1">
        <v>1102509.6299999999</v>
      </c>
      <c r="CW314" s="1">
        <v>1573700.26</v>
      </c>
      <c r="CX314" s="1">
        <v>1337393.71</v>
      </c>
      <c r="CY314" s="1">
        <v>1455654.44</v>
      </c>
      <c r="CZ314" s="1">
        <v>785574.73</v>
      </c>
      <c r="DA314" s="1">
        <v>1840868.4</v>
      </c>
      <c r="DB314" s="1">
        <v>1367263.24</v>
      </c>
      <c r="DC314" s="1">
        <v>1466873.69</v>
      </c>
      <c r="DD314" s="1">
        <v>0</v>
      </c>
      <c r="DE314" s="1">
        <v>0</v>
      </c>
      <c r="DF314" s="1">
        <v>0</v>
      </c>
      <c r="DH314" s="6">
        <f t="shared" si="115"/>
        <v>65207939.319999993</v>
      </c>
    </row>
    <row r="315" spans="1:113" x14ac:dyDescent="0.2">
      <c r="A315" s="5" t="s">
        <v>40</v>
      </c>
      <c r="B315" s="5" t="s">
        <v>7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>
        <v>-12397.97</v>
      </c>
      <c r="AV315" s="1">
        <v>16021.31</v>
      </c>
      <c r="AW315" s="1">
        <v>86498.71</v>
      </c>
      <c r="AX315" s="1">
        <v>21791.67</v>
      </c>
      <c r="AY315" s="1">
        <v>46565.2</v>
      </c>
      <c r="AZ315" s="1">
        <v>18823.62</v>
      </c>
      <c r="BA315" s="1">
        <v>44806.46</v>
      </c>
      <c r="BB315" s="1">
        <v>51186.97</v>
      </c>
      <c r="BC315" s="1">
        <v>53163.22</v>
      </c>
      <c r="BD315" s="1">
        <v>38036.07</v>
      </c>
      <c r="BE315" s="1">
        <v>38365.46</v>
      </c>
      <c r="BF315" s="1">
        <v>85671.76</v>
      </c>
      <c r="BG315" s="1">
        <v>115549.55</v>
      </c>
      <c r="BH315" s="1">
        <v>115549.55</v>
      </c>
      <c r="BI315" s="1">
        <v>100008.56</v>
      </c>
      <c r="BJ315" s="1">
        <v>135101.17000000001</v>
      </c>
      <c r="BK315" s="1">
        <v>94080.77</v>
      </c>
      <c r="BL315" s="1">
        <v>54295.75</v>
      </c>
      <c r="BM315" s="1">
        <v>130677.06</v>
      </c>
      <c r="BN315" s="1">
        <v>82847.789999999994</v>
      </c>
      <c r="BO315" s="1">
        <v>81447.990000000005</v>
      </c>
      <c r="BP315" s="1">
        <v>37704.699999999997</v>
      </c>
      <c r="BQ315" s="1">
        <v>68363.399999999994</v>
      </c>
      <c r="BR315" s="1">
        <v>84102.78</v>
      </c>
      <c r="BS315" s="1">
        <v>51752.26</v>
      </c>
      <c r="BT315" s="1">
        <v>141086.81</v>
      </c>
      <c r="BU315" s="1">
        <v>96470.76</v>
      </c>
      <c r="BV315" s="1">
        <v>139848.576</v>
      </c>
      <c r="BW315" s="1">
        <v>177183.12</v>
      </c>
      <c r="BX315" s="1">
        <v>116722.48</v>
      </c>
      <c r="BY315" s="1">
        <v>112306.34</v>
      </c>
      <c r="BZ315" s="1">
        <v>94165.440000000002</v>
      </c>
      <c r="CA315" s="1">
        <v>115659</v>
      </c>
      <c r="CB315" s="1">
        <v>61645.61</v>
      </c>
      <c r="CC315" s="1">
        <v>104056.76</v>
      </c>
      <c r="CD315" s="1">
        <v>116181.39</v>
      </c>
      <c r="CE315" s="1">
        <v>144961.62</v>
      </c>
      <c r="CF315" s="1">
        <v>95612.74</v>
      </c>
      <c r="CG315" s="1">
        <v>241071.09</v>
      </c>
      <c r="CH315" s="1">
        <v>28493.95</v>
      </c>
      <c r="CI315" s="1">
        <v>171278.44</v>
      </c>
      <c r="CJ315" s="1">
        <v>139551.76</v>
      </c>
      <c r="CK315" s="1">
        <v>50881.24</v>
      </c>
      <c r="CL315" s="1">
        <v>117518.7</v>
      </c>
      <c r="CM315" s="1">
        <v>151108.04</v>
      </c>
      <c r="CN315" s="1">
        <v>153910.26999999999</v>
      </c>
      <c r="CO315" s="1">
        <v>96032.03</v>
      </c>
      <c r="CP315" s="1">
        <v>180307.41</v>
      </c>
      <c r="CQ315" s="1">
        <v>104608.57</v>
      </c>
      <c r="CR315" s="1">
        <v>195373.83</v>
      </c>
      <c r="CS315" s="1">
        <v>221451.99</v>
      </c>
      <c r="CT315" s="1">
        <v>270832.89</v>
      </c>
      <c r="CU315" s="1">
        <v>211288.62</v>
      </c>
      <c r="CV315" s="1">
        <v>121979.38</v>
      </c>
      <c r="CW315" s="1">
        <v>157370.03</v>
      </c>
      <c r="CX315" s="1">
        <v>133739.37</v>
      </c>
      <c r="CY315" s="1">
        <v>145565.44</v>
      </c>
      <c r="CZ315" s="1">
        <v>81547.740000000005</v>
      </c>
      <c r="DA315" s="1">
        <v>184086.84</v>
      </c>
      <c r="DB315" s="1">
        <v>136726.32</v>
      </c>
      <c r="DC315" s="1">
        <v>146687.37</v>
      </c>
      <c r="DD315" s="1">
        <v>0</v>
      </c>
      <c r="DE315" s="1">
        <v>0</v>
      </c>
      <c r="DF315" s="1">
        <v>0</v>
      </c>
      <c r="DH315" s="6">
        <f t="shared" si="115"/>
        <v>6597325.7760000024</v>
      </c>
    </row>
    <row r="316" spans="1:113" x14ac:dyDescent="0.2">
      <c r="A316" s="5" t="str">
        <f>A315</f>
        <v>WY</v>
      </c>
      <c r="B316" s="5" t="s">
        <v>41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H316" s="6">
        <f t="shared" si="115"/>
        <v>0</v>
      </c>
    </row>
    <row r="319" spans="1:113" s="3" customFormat="1" x14ac:dyDescent="0.2">
      <c r="H319" s="2">
        <f t="shared" ref="H319:BS319" si="153">SUBTOTAL(9,H2:H316)</f>
        <v>389920853.27949995</v>
      </c>
      <c r="I319" s="2">
        <f t="shared" si="153"/>
        <v>365886188.91797501</v>
      </c>
      <c r="J319" s="2">
        <f t="shared" si="153"/>
        <v>527631063.95270002</v>
      </c>
      <c r="K319" s="2">
        <f t="shared" si="153"/>
        <v>1304681149.932375</v>
      </c>
      <c r="L319" s="2">
        <f t="shared" si="153"/>
        <v>1291348097.1267247</v>
      </c>
      <c r="M319" s="2">
        <f t="shared" si="153"/>
        <v>1549807376.3875499</v>
      </c>
      <c r="N319" s="2">
        <f t="shared" si="153"/>
        <v>1635890771.8802252</v>
      </c>
      <c r="O319" s="2">
        <f t="shared" si="153"/>
        <v>1622285693.3007247</v>
      </c>
      <c r="P319" s="2">
        <f t="shared" si="153"/>
        <v>1431198577.9825006</v>
      </c>
      <c r="Q319" s="2">
        <f t="shared" si="153"/>
        <v>1818061374.2704747</v>
      </c>
      <c r="R319" s="2">
        <f t="shared" si="153"/>
        <v>1275925730.4579003</v>
      </c>
      <c r="S319" s="2">
        <f t="shared" si="153"/>
        <v>1221093822.3970251</v>
      </c>
      <c r="T319" s="2">
        <f t="shared" si="153"/>
        <v>1144289977.8446252</v>
      </c>
      <c r="U319" s="2">
        <f t="shared" si="153"/>
        <v>1032180375.8246437</v>
      </c>
      <c r="V319" s="2">
        <f t="shared" si="153"/>
        <v>1397247311.8618</v>
      </c>
      <c r="W319" s="2">
        <f t="shared" si="153"/>
        <v>2619134784.9297686</v>
      </c>
      <c r="X319" s="2">
        <f t="shared" si="153"/>
        <v>3015897231.1724401</v>
      </c>
      <c r="Y319" s="2">
        <f t="shared" si="153"/>
        <v>3461584923.7904925</v>
      </c>
      <c r="Z319" s="2">
        <f t="shared" si="153"/>
        <v>3461191982.9624844</v>
      </c>
      <c r="AA319" s="2">
        <f t="shared" si="153"/>
        <v>4029224334.1608191</v>
      </c>
      <c r="AB319" s="2">
        <f t="shared" si="153"/>
        <v>3716699639.1806302</v>
      </c>
      <c r="AC319" s="2">
        <f t="shared" si="153"/>
        <v>1329974631.9914501</v>
      </c>
      <c r="AD319" s="2">
        <f t="shared" si="153"/>
        <v>334007750.92012495</v>
      </c>
      <c r="AE319" s="2">
        <f t="shared" si="153"/>
        <v>743522351.60345018</v>
      </c>
      <c r="AF319" s="2">
        <f t="shared" si="153"/>
        <v>989252096.95067477</v>
      </c>
      <c r="AG319" s="2">
        <f t="shared" si="153"/>
        <v>2029770457.8665752</v>
      </c>
      <c r="AH319" s="2">
        <f t="shared" si="153"/>
        <v>4789038008.2477503</v>
      </c>
      <c r="AI319" s="2">
        <f t="shared" si="153"/>
        <v>6228483819.8595304</v>
      </c>
      <c r="AJ319" s="2">
        <f t="shared" si="153"/>
        <v>7475946959.2041044</v>
      </c>
      <c r="AK319" s="2">
        <f t="shared" si="153"/>
        <v>7957458110.5160751</v>
      </c>
      <c r="AL319" s="2">
        <f t="shared" si="153"/>
        <v>8440189214.8643141</v>
      </c>
      <c r="AM319" s="2">
        <f t="shared" si="153"/>
        <v>9975948386.6032009</v>
      </c>
      <c r="AN319" s="2">
        <f t="shared" si="153"/>
        <v>8765098976.3607559</v>
      </c>
      <c r="AO319" s="2">
        <f t="shared" si="153"/>
        <v>10332272415.463835</v>
      </c>
      <c r="AP319" s="2">
        <f t="shared" si="153"/>
        <v>8297083327.5656519</v>
      </c>
      <c r="AQ319" s="2">
        <f t="shared" si="153"/>
        <v>8300269229.7949486</v>
      </c>
      <c r="AR319" s="2">
        <f t="shared" si="153"/>
        <v>8410717638.5053701</v>
      </c>
      <c r="AS319" s="2">
        <f t="shared" si="153"/>
        <v>6443725874.1518793</v>
      </c>
      <c r="AT319" s="2">
        <f t="shared" si="153"/>
        <v>6817990017.8298931</v>
      </c>
      <c r="AU319" s="2">
        <f t="shared" si="153"/>
        <v>12360117042.957426</v>
      </c>
      <c r="AV319" s="2">
        <f t="shared" si="153"/>
        <v>16523916392.2626</v>
      </c>
      <c r="AW319" s="2">
        <f t="shared" si="153"/>
        <v>17063407624.141596</v>
      </c>
      <c r="AX319" s="2">
        <f t="shared" si="153"/>
        <v>15827015730.46986</v>
      </c>
      <c r="AY319" s="2">
        <f t="shared" si="153"/>
        <v>21734842888.34597</v>
      </c>
      <c r="AZ319" s="2">
        <f t="shared" si="153"/>
        <v>17133885332.38773</v>
      </c>
      <c r="BA319" s="2">
        <f t="shared" si="153"/>
        <v>20433537550.704975</v>
      </c>
      <c r="BB319" s="2">
        <f t="shared" si="153"/>
        <v>16671330547.895113</v>
      </c>
      <c r="BC319" s="2">
        <f t="shared" si="153"/>
        <v>15305907608.257273</v>
      </c>
      <c r="BD319" s="2">
        <f t="shared" si="153"/>
        <v>12044446632.434408</v>
      </c>
      <c r="BE319" s="2">
        <f t="shared" si="153"/>
        <v>10358313922.376322</v>
      </c>
      <c r="BF319" s="2">
        <f t="shared" si="153"/>
        <v>11436138011.516766</v>
      </c>
      <c r="BG319" s="2">
        <f t="shared" si="153"/>
        <v>18781833124.181526</v>
      </c>
      <c r="BH319" s="2">
        <f t="shared" si="153"/>
        <v>22113427116.892391</v>
      </c>
      <c r="BI319" s="2">
        <f t="shared" si="153"/>
        <v>22695753416.106106</v>
      </c>
      <c r="BJ319" s="2">
        <f t="shared" si="153"/>
        <v>23145506265.480217</v>
      </c>
      <c r="BK319" s="2">
        <f t="shared" si="153"/>
        <v>26664913796.993431</v>
      </c>
      <c r="BL319" s="2">
        <f t="shared" si="153"/>
        <v>20349135606.076538</v>
      </c>
      <c r="BM319" s="2">
        <f t="shared" si="153"/>
        <v>25973786587.85537</v>
      </c>
      <c r="BN319" s="2">
        <f t="shared" si="153"/>
        <v>21150245612.049423</v>
      </c>
      <c r="BO319" s="2">
        <f t="shared" si="153"/>
        <v>19237586666.228333</v>
      </c>
      <c r="BP319" s="2">
        <f t="shared" si="153"/>
        <v>15020118161.963102</v>
      </c>
      <c r="BQ319" s="2">
        <f t="shared" si="153"/>
        <v>13811316605.033436</v>
      </c>
      <c r="BR319" s="2">
        <f t="shared" si="153"/>
        <v>15314272319.056988</v>
      </c>
      <c r="BS319" s="2">
        <f t="shared" si="153"/>
        <v>26807672203.395203</v>
      </c>
      <c r="BT319" s="2">
        <f t="shared" ref="BT319:DF319" si="154">SUBTOTAL(9,BT2:BT316)</f>
        <v>29604433627.028744</v>
      </c>
      <c r="BU319" s="2">
        <f t="shared" si="154"/>
        <v>31974968181.903511</v>
      </c>
      <c r="BV319" s="2">
        <f t="shared" si="154"/>
        <v>32382186424.988827</v>
      </c>
      <c r="BW319" s="2">
        <f t="shared" si="154"/>
        <v>32624850338.159885</v>
      </c>
      <c r="BX319" s="2">
        <f t="shared" si="154"/>
        <v>25563152312.141155</v>
      </c>
      <c r="BY319" s="2">
        <f t="shared" si="154"/>
        <v>31566301784.917931</v>
      </c>
      <c r="BZ319" s="2">
        <f t="shared" si="154"/>
        <v>28097929562.583607</v>
      </c>
      <c r="CA319" s="2">
        <f t="shared" si="154"/>
        <v>25930190530.879993</v>
      </c>
      <c r="CB319" s="2">
        <f t="shared" si="154"/>
        <v>21091746695.591236</v>
      </c>
      <c r="CC319" s="2">
        <f t="shared" si="154"/>
        <v>18734090670.5443</v>
      </c>
      <c r="CD319" s="2">
        <f t="shared" si="154"/>
        <v>20744295845.191498</v>
      </c>
      <c r="CE319" s="2">
        <f t="shared" si="154"/>
        <v>33209022910.721157</v>
      </c>
      <c r="CF319" s="2">
        <f t="shared" si="154"/>
        <v>33940461601.126717</v>
      </c>
      <c r="CG319" s="2">
        <f t="shared" si="154"/>
        <v>38149552128.124657</v>
      </c>
      <c r="CH319" s="2">
        <f t="shared" si="154"/>
        <v>34643200516.713524</v>
      </c>
      <c r="CI319" s="2">
        <f t="shared" si="154"/>
        <v>37090038437.464378</v>
      </c>
      <c r="CJ319" s="2">
        <f t="shared" si="154"/>
        <v>29081458184.447323</v>
      </c>
      <c r="CK319" s="2">
        <f t="shared" si="154"/>
        <v>34365471072.549202</v>
      </c>
      <c r="CL319" s="2">
        <f t="shared" si="154"/>
        <v>30368350926.401211</v>
      </c>
      <c r="CM319" s="2">
        <f t="shared" si="154"/>
        <v>30300007961.885437</v>
      </c>
      <c r="CN319" s="2">
        <f t="shared" si="154"/>
        <v>24110525394.487659</v>
      </c>
      <c r="CO319" s="2">
        <f t="shared" si="154"/>
        <v>20751753615.751938</v>
      </c>
      <c r="CP319" s="2">
        <f t="shared" si="154"/>
        <v>25873223340.653332</v>
      </c>
      <c r="CQ319" s="2">
        <f t="shared" si="154"/>
        <v>35252775224.811516</v>
      </c>
      <c r="CR319" s="2">
        <f t="shared" si="154"/>
        <v>40323101631.60717</v>
      </c>
      <c r="CS319" s="2">
        <f t="shared" si="154"/>
        <v>42091553106.307991</v>
      </c>
      <c r="CT319" s="2">
        <f t="shared" si="154"/>
        <v>38032468246.985748</v>
      </c>
      <c r="CU319" s="2">
        <f t="shared" si="154"/>
        <v>36870604702.613113</v>
      </c>
      <c r="CV319" s="2">
        <f t="shared" si="154"/>
        <v>29174427469.815125</v>
      </c>
      <c r="CW319" s="2">
        <f t="shared" si="154"/>
        <v>34945573255.163246</v>
      </c>
      <c r="CX319" s="2">
        <f t="shared" si="154"/>
        <v>31708017807.580746</v>
      </c>
      <c r="CY319" s="2">
        <f t="shared" si="154"/>
        <v>29966526911.866272</v>
      </c>
      <c r="CZ319" s="2">
        <f t="shared" si="154"/>
        <v>28742408556.262402</v>
      </c>
      <c r="DA319" s="2">
        <f t="shared" si="154"/>
        <v>27384710597.116722</v>
      </c>
      <c r="DB319" s="2">
        <f t="shared" si="154"/>
        <v>24924732321.279507</v>
      </c>
      <c r="DC319" s="2">
        <f t="shared" si="154"/>
        <v>20025376452.477295</v>
      </c>
      <c r="DD319" s="2">
        <f t="shared" si="154"/>
        <v>0</v>
      </c>
      <c r="DE319" s="2">
        <f t="shared" si="154"/>
        <v>0</v>
      </c>
      <c r="DF319" s="2">
        <f t="shared" si="154"/>
        <v>0</v>
      </c>
      <c r="DH319" s="6">
        <f>SUM(C319:DF319)</f>
        <v>1693569845643.1194</v>
      </c>
    </row>
    <row r="320" spans="1:113" x14ac:dyDescent="0.2">
      <c r="DH320" s="8">
        <f>DH319-SUM(DH2:DH316)</f>
        <v>0</v>
      </c>
      <c r="DI320" s="7" t="s">
        <v>46</v>
      </c>
    </row>
  </sheetData>
  <autoFilter ref="A1:B316" xr:uid="{42F3F54E-7446-44B8-94F2-20E6F2512ADE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Straffon</dc:creator>
  <cp:lastModifiedBy>Alfonso Straffon</cp:lastModifiedBy>
  <dcterms:created xsi:type="dcterms:W3CDTF">2025-05-29T15:52:47Z</dcterms:created>
  <dcterms:modified xsi:type="dcterms:W3CDTF">2026-10-28T03:25:36Z</dcterms:modified>
</cp:coreProperties>
</file>